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nomiacouk-my.sharepoint.com/personal/james_brooke_eunomia_co_uk/Documents/Desktop/Eurostat SE/2025 (RY2023)/WEEE/"/>
    </mc:Choice>
  </mc:AlternateContent>
  <xr:revisionPtr revIDLastSave="43" documentId="8_{772CDBAC-7419-4E6B-B8A6-0018D0826DAA}" xr6:coauthVersionLast="47" xr6:coauthVersionMax="47" xr10:uidLastSave="{C714372A-2F48-4EAE-BBCA-B522CD7E48FB}"/>
  <bookViews>
    <workbookView xWindow="28680" yWindow="-120" windowWidth="29040" windowHeight="15720" tabRatio="787" xr2:uid="{00000000-000D-0000-FFFF-FFFF00000000}"/>
  </bookViews>
  <sheets>
    <sheet name="Figure 1" sheetId="15" r:id="rId1"/>
    <sheet name="Figure 2a" sheetId="50" r:id="rId2"/>
    <sheet name="Figure 2b" sheetId="57" r:id="rId3"/>
    <sheet name="Figure 3" sheetId="53" r:id="rId4"/>
    <sheet name="Figure_main_page" sheetId="58" r:id="rId5"/>
  </sheets>
  <externalReferences>
    <externalReference r:id="rId6"/>
  </externalReferences>
  <definedNames>
    <definedName name="_xlnm._FilterDatabase" localSheetId="0" hidden="1">'Figure 1'!#REF!</definedName>
    <definedName name="_xlnm._FilterDatabase" localSheetId="1" hidden="1">'Figure 2a'!$M$64:$N$85</definedName>
    <definedName name="_xlnm._FilterDatabase" localSheetId="2" hidden="1">'Figure 2b'!$A$58:$C$59</definedName>
    <definedName name="_xlnm._FilterDatabase" localSheetId="3" hidden="1">'Figure 3'!$I$66:$L$91</definedName>
    <definedName name="_xlnm._FilterDatabase" localSheetId="4" hidden="1">Figure_main_page!$C$39:$E$68</definedName>
    <definedName name="_Ref291199253" localSheetId="1">'Figure 2a'!#REF!</definedName>
    <definedName name="_Ref291199253" localSheetId="2">'Figure 2b'!#REF!</definedName>
    <definedName name="Datenfeld1" localSheetId="2">'[1]data for pivot'!#REF!</definedName>
    <definedName name="Datenfeld1">'[1]data for pivot'!#REF!</definedName>
    <definedName name="_xlnm.Print_Area" localSheetId="0">'Figure 1'!$A$2:$J$47</definedName>
    <definedName name="_xlnm.Print_Area" localSheetId="1">'Figure 2a'!$F$4:$T$47</definedName>
    <definedName name="_xlnm.Print_Area" localSheetId="2">'Figure 2b'!$F$4:$Q$48</definedName>
    <definedName name="_xlnm.Print_Area" localSheetId="3">'Figure 3'!$A$33:$H$59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15" l="1"/>
  <c r="Q51" i="15"/>
  <c r="Q52" i="15"/>
  <c r="Q49" i="15"/>
  <c r="Q50" i="15"/>
  <c r="O53" i="15"/>
  <c r="O52" i="15"/>
  <c r="O51" i="15"/>
  <c r="O50" i="15"/>
  <c r="O49" i="15"/>
  <c r="P49" i="15" s="1"/>
  <c r="R51" i="15" l="1"/>
  <c r="R53" i="15"/>
  <c r="R52" i="15"/>
  <c r="R50" i="15"/>
  <c r="R49" i="15"/>
  <c r="P53" i="15" l="1"/>
  <c r="P52" i="15"/>
  <c r="P51" i="15"/>
  <c r="P50" i="15"/>
</calcChain>
</file>

<file path=xl/sharedStrings.xml><?xml version="1.0" encoding="utf-8"?>
<sst xmlns="http://schemas.openxmlformats.org/spreadsheetml/2006/main" count="140" uniqueCount="130">
  <si>
    <t>Figure 1: Electrical and electronic equipment (EEE) put on the market and waste EEE collected, treated, recovered, recycled and prepared for reuse, EU (2012-2023)</t>
  </si>
  <si>
    <t>(thousand tonnes)</t>
  </si>
  <si>
    <t>Note: 2022 and 2023: Eurostat estimates</t>
  </si>
  <si>
    <t>Source: Eurostat (online data code: env_waseleeos)</t>
  </si>
  <si>
    <t>Bookmark</t>
  </si>
  <si>
    <t>env_waseleeos</t>
  </si>
  <si>
    <t>https://ec.europa.eu/eurostat/databrowser/view/env_waseleeos__custom_18660281/default/table</t>
  </si>
  <si>
    <t>Difference 2012-2023</t>
  </si>
  <si>
    <t>Difference 2022-2023</t>
  </si>
  <si>
    <t>Total put on the market</t>
  </si>
  <si>
    <t>Total collected</t>
  </si>
  <si>
    <t>Total treatment</t>
  </si>
  <si>
    <t>Total reused and recycled</t>
  </si>
  <si>
    <t xml:space="preserve">Bookmark: </t>
  </si>
  <si>
    <t>https://appsso.eurostat.ec.europa.eu/nui/show.do?query=BOOKMARK_DS-185466_QID_63B5BCD1_UID_-3F171EB0&amp;layout=TIME,C,X,0;WST_OPER,L,Y,0;WASTE,L,Z,0;UNIT,L,Z,1;GEO,L,Z,2;INDICATORS,C,Z,3;&amp;zSelection=DS-185466UNIT,T;DS-185466WASTE,TOTAL;DS-185466INDICATORS,OBS_FLAG;DS-185466GEO,EU27_2020;&amp;rankName1=WASTE_1_2_-1_2&amp;rankName2=UNIT_1_2_-1_2&amp;rankName3=INDICATORS_1_2_-1_2&amp;rankName4=GEO_1_2_1_1&amp;rankName5=TIME_1_0_0_0&amp;rankName6=WST-OPER_1_2_0_1&amp;sortC=ASC_-1_FIRST&amp;rStp=&amp;cStp=&amp;rDCh=&amp;cDCh=&amp;rDM=true&amp;cDM=true&amp;footnes=false&amp;empty=false&amp;wai=false&amp;time_mode=NONE&amp;time_most_recent=false&amp;lang=EN&amp;cfo=%23%23%23%2C%23%23%23.%23%23%23</t>
  </si>
  <si>
    <t>Figure 2a: Total collection rate for waste electrical and electronic equipment (EEE), 2023</t>
  </si>
  <si>
    <t>(% of average weight of EEE put on the market in the three preceding years)</t>
  </si>
  <si>
    <t xml:space="preserve">(¹) Eurostat estimate. </t>
  </si>
  <si>
    <t>(²) 65 % target not applicable: Denmark, Luxembourg, Hungary, Poland. Country applies calculation methodology based on WEEE generated: see Figure 2b.</t>
  </si>
  <si>
    <t>(³) No data available for Romania and Sweden</t>
  </si>
  <si>
    <r>
      <t>Source:</t>
    </r>
    <r>
      <rPr>
        <sz val="10"/>
        <rFont val="Arial"/>
        <family val="2"/>
      </rPr>
      <t xml:space="preserve"> Eurostat (online data codes: env_waseleeos)</t>
    </r>
  </si>
  <si>
    <t>https://ec.europa.eu/eurostat/databrowser/view/env_waseleeos__custom_18659880/default/table</t>
  </si>
  <si>
    <t>Share of WEEE collected 
(% of EEE put on market in the three preceding years)</t>
  </si>
  <si>
    <t>Target 45 %</t>
  </si>
  <si>
    <t>Target 65 %</t>
  </si>
  <si>
    <t>EU (¹)</t>
  </si>
  <si>
    <t/>
  </si>
  <si>
    <t>Bulgaria</t>
  </si>
  <si>
    <t>Slovakia</t>
  </si>
  <si>
    <t>Latvia</t>
  </si>
  <si>
    <t>Czechia</t>
  </si>
  <si>
    <t>Belgium</t>
  </si>
  <si>
    <t>Lithuania</t>
  </si>
  <si>
    <t>Austria</t>
  </si>
  <si>
    <t>Finland</t>
  </si>
  <si>
    <t>Estonia</t>
  </si>
  <si>
    <t>France</t>
  </si>
  <si>
    <t>Croatia</t>
  </si>
  <si>
    <t>Ireland</t>
  </si>
  <si>
    <t>Spain</t>
  </si>
  <si>
    <t>Greece</t>
  </si>
  <si>
    <t>Slovenia</t>
  </si>
  <si>
    <t>Italy</t>
  </si>
  <si>
    <t>Netherlands</t>
  </si>
  <si>
    <t>Portugal</t>
  </si>
  <si>
    <t>Malta</t>
  </si>
  <si>
    <t>Cyprus</t>
  </si>
  <si>
    <t>Norway</t>
  </si>
  <si>
    <t>Figure 2b: Total collection rate for waste electrical and electronic equipment (WEEE) as share of generated WEEE, 2023</t>
  </si>
  <si>
    <t>(% of the weight of WEEE generated in the same year)</t>
  </si>
  <si>
    <r>
      <rPr>
        <i/>
        <sz val="10"/>
        <rFont val="Arial"/>
        <family val="2"/>
      </rPr>
      <t xml:space="preserve">Source: </t>
    </r>
    <r>
      <rPr>
        <sz val="10"/>
        <rFont val="Arial"/>
        <family val="2"/>
      </rPr>
      <t>Eurostat (online data code: env_waseleeos)</t>
    </r>
  </si>
  <si>
    <t>https://ec.europa.eu/eurostat/databrowser/view/env_waseleeos__custom_18660215/default/table</t>
  </si>
  <si>
    <t>Share of WEEE collected 
(% of the weight of WEEE generated in the same year)</t>
  </si>
  <si>
    <t>Target 85 %</t>
  </si>
  <si>
    <t>Poland</t>
  </si>
  <si>
    <t>Luxembourg</t>
  </si>
  <si>
    <t>Denmark</t>
  </si>
  <si>
    <t>Hungary</t>
  </si>
  <si>
    <t>Figure 3: Electrical and electronic equipment put on the market in the three preceding years, waste EEE generated and collected, 2023</t>
  </si>
  <si>
    <t>(kilograms per inhabitant)</t>
  </si>
  <si>
    <t>Note: Countries are ranked based on data on EEE put on the market in the three preceding years.</t>
  </si>
  <si>
    <t>(²) Data on WEEE generated is provided on a voluntary basis.</t>
  </si>
  <si>
    <t>(³) 'Put on market' not applicable.</t>
  </si>
  <si>
    <t>(⁴) No data available for Sweden and Romania</t>
  </si>
  <si>
    <t>(⁵) Population data from 2023 is used as common denominator</t>
  </si>
  <si>
    <t>https://ec.europa.eu/eurostat/databrowser/view/env_waseleeos__custom_18660156/default/table</t>
  </si>
  <si>
    <r>
      <t xml:space="preserve"> EEE put on the market in the three preceding years (</t>
    </r>
    <r>
      <rPr>
        <b/>
        <sz val="10"/>
        <rFont val="Calibri"/>
        <family val="2"/>
      </rPr>
      <t>⁵</t>
    </r>
    <r>
      <rPr>
        <b/>
        <sz val="10"/>
        <rFont val="Arial"/>
        <family val="2"/>
      </rPr>
      <t>)</t>
    </r>
  </si>
  <si>
    <t>WEEE generated</t>
  </si>
  <si>
    <t>WEEE collected</t>
  </si>
  <si>
    <t xml:space="preserve">EU (¹) </t>
  </si>
  <si>
    <t>Netherlands (²)</t>
  </si>
  <si>
    <t xml:space="preserve">Denmark </t>
  </si>
  <si>
    <t xml:space="preserve">Germany </t>
  </si>
  <si>
    <t xml:space="preserve">France </t>
  </si>
  <si>
    <t xml:space="preserve">Austria </t>
  </si>
  <si>
    <t xml:space="preserve">Italy </t>
  </si>
  <si>
    <t>Finland (²)</t>
  </si>
  <si>
    <t xml:space="preserve">Belgium </t>
  </si>
  <si>
    <t xml:space="preserve">Hungary </t>
  </si>
  <si>
    <t xml:space="preserve">Ireland </t>
  </si>
  <si>
    <t xml:space="preserve">Czechia </t>
  </si>
  <si>
    <t xml:space="preserve">Slovenia </t>
  </si>
  <si>
    <t>Estonia (²)</t>
  </si>
  <si>
    <t>Spain (²)</t>
  </si>
  <si>
    <t xml:space="preserve">Portugal </t>
  </si>
  <si>
    <t xml:space="preserve">Greece </t>
  </si>
  <si>
    <t xml:space="preserve">Malta </t>
  </si>
  <si>
    <t xml:space="preserve">Luxembourg </t>
  </si>
  <si>
    <t xml:space="preserve">Croatia </t>
  </si>
  <si>
    <t xml:space="preserve">Lithuania </t>
  </si>
  <si>
    <t xml:space="preserve">Slovakia </t>
  </si>
  <si>
    <t xml:space="preserve">Latvia </t>
  </si>
  <si>
    <t>Cyprus (²)</t>
  </si>
  <si>
    <t xml:space="preserve">Bulgaria </t>
  </si>
  <si>
    <t>Liechtenstein (³)</t>
  </si>
  <si>
    <t xml:space="preserve">Norway </t>
  </si>
  <si>
    <t xml:space="preserve"> </t>
  </si>
  <si>
    <t>EU</t>
  </si>
  <si>
    <t>BG</t>
  </si>
  <si>
    <t>CZ</t>
  </si>
  <si>
    <t>AT</t>
  </si>
  <si>
    <t>FR</t>
  </si>
  <si>
    <t>PL</t>
  </si>
  <si>
    <t>DK</t>
  </si>
  <si>
    <t>BE</t>
  </si>
  <si>
    <t>FI</t>
  </si>
  <si>
    <t>NL</t>
  </si>
  <si>
    <t>IE</t>
  </si>
  <si>
    <t>SK</t>
  </si>
  <si>
    <t>DE</t>
  </si>
  <si>
    <t>LV</t>
  </si>
  <si>
    <t>ES</t>
  </si>
  <si>
    <t>LT</t>
  </si>
  <si>
    <t>EE</t>
  </si>
  <si>
    <t>LU</t>
  </si>
  <si>
    <t>IT</t>
  </si>
  <si>
    <t>HR</t>
  </si>
  <si>
    <t>HU</t>
  </si>
  <si>
    <t>EL</t>
  </si>
  <si>
    <t>SI</t>
  </si>
  <si>
    <t>PT</t>
  </si>
  <si>
    <t>MT</t>
  </si>
  <si>
    <t>CY</t>
  </si>
  <si>
    <t>LI</t>
  </si>
  <si>
    <t>NO</t>
  </si>
  <si>
    <t>Germany</t>
  </si>
  <si>
    <t>Total recovered (incl. recycling, energy recovery)</t>
  </si>
  <si>
    <t>Bookmark:</t>
  </si>
  <si>
    <t>env_waselee</t>
  </si>
  <si>
    <t>https://ec.europa.eu/eurostat/databrowser/view/ENV_WASELEE__custom_497183/default/table?lang=en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</si>
</sst>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€_-;\-* #,##0.00\ _€_-;_-* &quot;-&quot;??\ _€_-;_-@_-"/>
    <numFmt numFmtId="165" formatCode="0.0"/>
    <numFmt numFmtId="166" formatCode="#,##0.0_i"/>
    <numFmt numFmtId="167" formatCode="#,##0_ ;\-#,##0\ "/>
    <numFmt numFmtId="168" formatCode="0.0%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/>
      <bottom style="hair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C0C0C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/>
      <diagonal/>
    </border>
    <border>
      <left style="hair">
        <color rgb="FFA6A6A6"/>
      </left>
      <right style="hair">
        <color rgb="FFA6A6A6"/>
      </right>
      <top/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hair">
        <color rgb="FFA6A6A6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/>
      <right/>
      <top/>
      <bottom style="thin">
        <color indexed="64"/>
      </bottom>
      <diagonal/>
    </border>
  </borders>
  <cellStyleXfs count="41">
    <xf numFmtId="0" fontId="0" fillId="0" borderId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166" fontId="7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8" fillId="0" borderId="0"/>
    <xf numFmtId="0" fontId="5" fillId="2" borderId="0" applyNumberFormat="0" applyFont="0" applyBorder="0" applyAlignment="0" applyProtection="0">
      <alignment vertical="center"/>
      <protection hidden="1"/>
    </xf>
    <xf numFmtId="0" fontId="4" fillId="0" borderId="0"/>
    <xf numFmtId="0" fontId="12" fillId="0" borderId="0"/>
    <xf numFmtId="0" fontId="13" fillId="0" borderId="0"/>
    <xf numFmtId="0" fontId="14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15" fillId="0" borderId="0"/>
    <xf numFmtId="0" fontId="16" fillId="0" borderId="0"/>
    <xf numFmtId="0" fontId="2" fillId="0" borderId="0"/>
    <xf numFmtId="0" fontId="16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17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4" fillId="0" borderId="0" xfId="0" applyFont="1"/>
    <xf numFmtId="0" fontId="18" fillId="0" borderId="0" xfId="0" applyFont="1"/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167" fontId="4" fillId="0" borderId="0" xfId="0" applyNumberFormat="1" applyFont="1"/>
    <xf numFmtId="0" fontId="18" fillId="0" borderId="1" xfId="0" applyFont="1" applyBorder="1" applyAlignment="1">
      <alignment horizontal="left" vertical="center" wrapText="1"/>
    </xf>
    <xf numFmtId="167" fontId="4" fillId="0" borderId="1" xfId="1" applyNumberFormat="1" applyFont="1" applyFill="1" applyBorder="1" applyAlignment="1">
      <alignment horizontal="right" vertical="center" indent="2"/>
    </xf>
    <xf numFmtId="0" fontId="18" fillId="0" borderId="2" xfId="0" applyFont="1" applyBorder="1" applyAlignment="1">
      <alignment horizontal="left" vertical="center" wrapText="1"/>
    </xf>
    <xf numFmtId="167" fontId="4" fillId="0" borderId="2" xfId="1" applyNumberFormat="1" applyFont="1" applyFill="1" applyBorder="1" applyAlignment="1">
      <alignment horizontal="right" vertical="center" indent="2"/>
    </xf>
    <xf numFmtId="0" fontId="4" fillId="0" borderId="0" xfId="33" applyFont="1"/>
    <xf numFmtId="0" fontId="18" fillId="0" borderId="0" xfId="0" applyFont="1" applyAlignment="1">
      <alignment horizontal="left"/>
    </xf>
    <xf numFmtId="0" fontId="4" fillId="0" borderId="0" xfId="22" applyFont="1" applyAlignment="1">
      <alignment horizontal="left"/>
    </xf>
    <xf numFmtId="0" fontId="4" fillId="0" borderId="0" xfId="0" applyFont="1" applyAlignment="1">
      <alignment vertical="top"/>
    </xf>
    <xf numFmtId="0" fontId="18" fillId="3" borderId="4" xfId="7" applyFont="1" applyFill="1" applyBorder="1" applyAlignment="1">
      <alignment horizontal="center" vertical="center"/>
    </xf>
    <xf numFmtId="0" fontId="18" fillId="3" borderId="4" xfId="7" applyFont="1" applyFill="1" applyBorder="1" applyAlignment="1">
      <alignment horizontal="center" vertical="center" wrapText="1"/>
    </xf>
    <xf numFmtId="0" fontId="18" fillId="3" borderId="9" xfId="7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165" fontId="4" fillId="0" borderId="3" xfId="0" applyNumberFormat="1" applyFont="1" applyBorder="1" applyAlignment="1">
      <alignment horizontal="right" indent="4"/>
    </xf>
    <xf numFmtId="0" fontId="4" fillId="0" borderId="7" xfId="7" applyFont="1" applyBorder="1" applyAlignment="1">
      <alignment horizontal="right" indent="3"/>
    </xf>
    <xf numFmtId="0" fontId="4" fillId="0" borderId="3" xfId="7" applyFont="1" applyBorder="1" applyAlignment="1">
      <alignment horizontal="right" indent="3"/>
    </xf>
    <xf numFmtId="0" fontId="4" fillId="0" borderId="10" xfId="7" applyFont="1" applyBorder="1" applyAlignment="1">
      <alignment horizontal="right" indent="3"/>
    </xf>
    <xf numFmtId="0" fontId="4" fillId="0" borderId="1" xfId="7" applyFont="1" applyBorder="1" applyAlignment="1">
      <alignment horizontal="right" indent="3"/>
    </xf>
    <xf numFmtId="0" fontId="18" fillId="0" borderId="1" xfId="0" applyFont="1" applyBorder="1" applyAlignment="1">
      <alignment horizontal="left"/>
    </xf>
    <xf numFmtId="165" fontId="4" fillId="0" borderId="1" xfId="0" applyNumberFormat="1" applyFont="1" applyBorder="1" applyAlignment="1">
      <alignment horizontal="right" indent="4"/>
    </xf>
    <xf numFmtId="0" fontId="18" fillId="0" borderId="5" xfId="0" applyFont="1" applyBorder="1" applyAlignment="1">
      <alignment horizontal="left"/>
    </xf>
    <xf numFmtId="0" fontId="4" fillId="0" borderId="12" xfId="7" applyFont="1" applyBorder="1" applyAlignment="1">
      <alignment horizontal="right" indent="3"/>
    </xf>
    <xf numFmtId="0" fontId="4" fillId="0" borderId="5" xfId="7" applyFont="1" applyBorder="1" applyAlignment="1">
      <alignment horizontal="right" indent="3"/>
    </xf>
    <xf numFmtId="49" fontId="4" fillId="0" borderId="0" xfId="22" applyNumberFormat="1" applyFont="1"/>
    <xf numFmtId="0" fontId="4" fillId="0" borderId="0" xfId="22" applyFont="1"/>
    <xf numFmtId="0" fontId="18" fillId="0" borderId="6" xfId="0" applyFont="1" applyBorder="1" applyAlignment="1">
      <alignment horizontal="left"/>
    </xf>
    <xf numFmtId="0" fontId="4" fillId="0" borderId="11" xfId="7" applyFont="1" applyBorder="1" applyAlignment="1">
      <alignment horizontal="right" indent="3"/>
    </xf>
    <xf numFmtId="0" fontId="4" fillId="0" borderId="6" xfId="7" applyFont="1" applyBorder="1" applyAlignment="1">
      <alignment horizontal="right" indent="3"/>
    </xf>
    <xf numFmtId="0" fontId="18" fillId="0" borderId="2" xfId="22" applyFont="1" applyBorder="1" applyAlignment="1">
      <alignment horizontal="left"/>
    </xf>
    <xf numFmtId="0" fontId="4" fillId="0" borderId="0" xfId="7" applyFont="1"/>
    <xf numFmtId="0" fontId="18" fillId="3" borderId="6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/>
    </xf>
    <xf numFmtId="167" fontId="4" fillId="0" borderId="3" xfId="1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vertical="top" wrapText="1"/>
    </xf>
    <xf numFmtId="165" fontId="18" fillId="4" borderId="4" xfId="7" applyNumberFormat="1" applyFont="1" applyFill="1" applyBorder="1" applyAlignment="1">
      <alignment horizontal="left" vertical="center"/>
    </xf>
    <xf numFmtId="0" fontId="18" fillId="3" borderId="6" xfId="7" applyFont="1" applyFill="1" applyBorder="1" applyAlignment="1">
      <alignment horizontal="center" vertical="center"/>
    </xf>
    <xf numFmtId="0" fontId="18" fillId="3" borderId="6" xfId="7" applyFont="1" applyFill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right" indent="4"/>
    </xf>
    <xf numFmtId="0" fontId="4" fillId="0" borderId="0" xfId="10"/>
    <xf numFmtId="0" fontId="4" fillId="0" borderId="0" xfId="15"/>
    <xf numFmtId="0" fontId="18" fillId="4" borderId="4" xfId="0" applyFont="1" applyFill="1" applyBorder="1" applyAlignment="1">
      <alignment horizontal="left"/>
    </xf>
    <xf numFmtId="165" fontId="4" fillId="4" borderId="4" xfId="0" applyNumberFormat="1" applyFont="1" applyFill="1" applyBorder="1" applyAlignment="1">
      <alignment horizontal="right" indent="4"/>
    </xf>
    <xf numFmtId="0" fontId="4" fillId="4" borderId="4" xfId="7" applyFont="1" applyFill="1" applyBorder="1" applyAlignment="1">
      <alignment horizontal="right" indent="3"/>
    </xf>
    <xf numFmtId="0" fontId="4" fillId="4" borderId="9" xfId="7" applyFont="1" applyFill="1" applyBorder="1" applyAlignment="1">
      <alignment horizontal="right" indent="3"/>
    </xf>
    <xf numFmtId="0" fontId="18" fillId="3" borderId="11" xfId="7" applyFont="1" applyFill="1" applyBorder="1" applyAlignment="1">
      <alignment horizontal="center" vertical="center" wrapText="1"/>
    </xf>
    <xf numFmtId="0" fontId="4" fillId="0" borderId="7" xfId="7" applyFont="1" applyBorder="1" applyAlignment="1">
      <alignment horizontal="right" indent="5"/>
    </xf>
    <xf numFmtId="0" fontId="4" fillId="0" borderId="10" xfId="7" applyFont="1" applyBorder="1" applyAlignment="1">
      <alignment horizontal="right" indent="5"/>
    </xf>
    <xf numFmtId="0" fontId="18" fillId="3" borderId="14" xfId="7" applyFont="1" applyFill="1" applyBorder="1" applyAlignment="1">
      <alignment horizontal="center" vertical="center" wrapText="1"/>
    </xf>
    <xf numFmtId="165" fontId="18" fillId="4" borderId="14" xfId="7" applyNumberFormat="1" applyFont="1" applyFill="1" applyBorder="1" applyAlignment="1">
      <alignment horizontal="right" vertical="center" indent="3"/>
    </xf>
    <xf numFmtId="165" fontId="21" fillId="4" borderId="4" xfId="7" applyNumberFormat="1" applyFont="1" applyFill="1" applyBorder="1" applyAlignment="1">
      <alignment horizontal="right" vertical="center" indent="3"/>
    </xf>
    <xf numFmtId="165" fontId="18" fillId="4" borderId="9" xfId="7" applyNumberFormat="1" applyFont="1" applyFill="1" applyBorder="1" applyAlignment="1">
      <alignment horizontal="right" vertical="center" indent="3"/>
    </xf>
    <xf numFmtId="165" fontId="4" fillId="0" borderId="13" xfId="0" applyNumberFormat="1" applyFont="1" applyBorder="1" applyAlignment="1">
      <alignment horizontal="right" indent="3"/>
    </xf>
    <xf numFmtId="165" fontId="4" fillId="0" borderId="6" xfId="0" applyNumberFormat="1" applyFont="1" applyBorder="1" applyAlignment="1">
      <alignment horizontal="right" indent="3"/>
    </xf>
    <xf numFmtId="165" fontId="4" fillId="0" borderId="11" xfId="0" applyNumberFormat="1" applyFont="1" applyBorder="1" applyAlignment="1">
      <alignment horizontal="right" indent="3"/>
    </xf>
    <xf numFmtId="165" fontId="4" fillId="5" borderId="15" xfId="0" applyNumberFormat="1" applyFont="1" applyFill="1" applyBorder="1" applyAlignment="1">
      <alignment horizontal="right" indent="3"/>
    </xf>
    <xf numFmtId="165" fontId="4" fillId="5" borderId="3" xfId="0" applyNumberFormat="1" applyFont="1" applyFill="1" applyBorder="1" applyAlignment="1">
      <alignment horizontal="right" indent="3"/>
    </xf>
    <xf numFmtId="165" fontId="4" fillId="0" borderId="7" xfId="0" applyNumberFormat="1" applyFont="1" applyBorder="1" applyAlignment="1">
      <alignment horizontal="right" indent="3"/>
    </xf>
    <xf numFmtId="165" fontId="4" fillId="5" borderId="16" xfId="0" applyNumberFormat="1" applyFont="1" applyFill="1" applyBorder="1" applyAlignment="1">
      <alignment horizontal="right" indent="3"/>
    </xf>
    <xf numFmtId="165" fontId="4" fillId="5" borderId="1" xfId="0" applyNumberFormat="1" applyFont="1" applyFill="1" applyBorder="1" applyAlignment="1">
      <alignment horizontal="right" indent="3"/>
    </xf>
    <xf numFmtId="165" fontId="4" fillId="0" borderId="10" xfId="0" applyNumberFormat="1" applyFont="1" applyBorder="1" applyAlignment="1">
      <alignment horizontal="right" indent="3"/>
    </xf>
    <xf numFmtId="165" fontId="4" fillId="0" borderId="1" xfId="0" applyNumberFormat="1" applyFont="1" applyBorder="1" applyAlignment="1">
      <alignment horizontal="right" indent="3"/>
    </xf>
    <xf numFmtId="165" fontId="4" fillId="5" borderId="5" xfId="0" applyNumberFormat="1" applyFont="1" applyFill="1" applyBorder="1" applyAlignment="1">
      <alignment horizontal="right" indent="3"/>
    </xf>
    <xf numFmtId="165" fontId="4" fillId="0" borderId="3" xfId="0" applyNumberFormat="1" applyFont="1" applyBorder="1" applyAlignment="1">
      <alignment horizontal="right" indent="3"/>
    </xf>
    <xf numFmtId="165" fontId="4" fillId="0" borderId="17" xfId="0" applyNumberFormat="1" applyFont="1" applyBorder="1" applyAlignment="1">
      <alignment horizontal="right" indent="3"/>
    </xf>
    <xf numFmtId="165" fontId="4" fillId="0" borderId="2" xfId="0" applyNumberFormat="1" applyFont="1" applyBorder="1" applyAlignment="1">
      <alignment horizontal="right" indent="3"/>
    </xf>
    <xf numFmtId="165" fontId="4" fillId="0" borderId="8" xfId="0" applyNumberFormat="1" applyFont="1" applyBorder="1" applyAlignment="1">
      <alignment horizontal="right" indent="3"/>
    </xf>
    <xf numFmtId="9" fontId="4" fillId="0" borderId="1" xfId="19" applyFont="1" applyFill="1" applyBorder="1" applyAlignment="1">
      <alignment horizontal="right" vertical="center" indent="2"/>
    </xf>
    <xf numFmtId="9" fontId="4" fillId="0" borderId="2" xfId="19" applyFont="1" applyFill="1" applyBorder="1" applyAlignment="1">
      <alignment horizontal="right" vertical="center" indent="2"/>
    </xf>
    <xf numFmtId="49" fontId="4" fillId="0" borderId="0" xfId="32" applyNumberFormat="1" applyFont="1"/>
    <xf numFmtId="0" fontId="18" fillId="0" borderId="0" xfId="7" applyFont="1" applyAlignment="1">
      <alignment vertical="center"/>
    </xf>
    <xf numFmtId="168" fontId="4" fillId="0" borderId="0" xfId="19" applyNumberFormat="1" applyFont="1"/>
    <xf numFmtId="0" fontId="4" fillId="0" borderId="0" xfId="0" applyFont="1" applyAlignment="1">
      <alignment horizontal="left" vertical="top" wrapText="1"/>
    </xf>
    <xf numFmtId="0" fontId="18" fillId="0" borderId="18" xfId="0" applyFont="1" applyBorder="1" applyAlignment="1">
      <alignment horizontal="left"/>
    </xf>
    <xf numFmtId="165" fontId="4" fillId="0" borderId="19" xfId="0" applyNumberFormat="1" applyFont="1" applyBorder="1" applyAlignment="1">
      <alignment horizontal="right" indent="3"/>
    </xf>
    <xf numFmtId="0" fontId="18" fillId="0" borderId="20" xfId="0" applyFont="1" applyBorder="1" applyAlignment="1">
      <alignment horizontal="left"/>
    </xf>
    <xf numFmtId="165" fontId="4" fillId="0" borderId="20" xfId="0" applyNumberFormat="1" applyFont="1" applyBorder="1" applyAlignment="1">
      <alignment horizontal="right" indent="4"/>
    </xf>
    <xf numFmtId="0" fontId="4" fillId="0" borderId="21" xfId="7" applyFont="1" applyBorder="1" applyAlignment="1">
      <alignment horizontal="right" indent="3"/>
    </xf>
    <xf numFmtId="0" fontId="4" fillId="0" borderId="20" xfId="7" applyFont="1" applyBorder="1" applyAlignment="1">
      <alignment horizontal="right" indent="3"/>
    </xf>
    <xf numFmtId="165" fontId="4" fillId="0" borderId="18" xfId="0" applyNumberFormat="1" applyFont="1" applyBorder="1" applyAlignment="1">
      <alignment horizontal="right" indent="4"/>
    </xf>
    <xf numFmtId="0" fontId="4" fillId="0" borderId="19" xfId="7" applyFont="1" applyBorder="1" applyAlignment="1">
      <alignment horizontal="right" indent="5"/>
    </xf>
    <xf numFmtId="0" fontId="18" fillId="0" borderId="22" xfId="0" applyFont="1" applyBorder="1" applyAlignment="1">
      <alignment horizontal="left"/>
    </xf>
    <xf numFmtId="165" fontId="4" fillId="0" borderId="23" xfId="0" applyNumberFormat="1" applyFont="1" applyBorder="1" applyAlignment="1">
      <alignment horizontal="right" indent="3"/>
    </xf>
    <xf numFmtId="0" fontId="18" fillId="0" borderId="24" xfId="0" applyFont="1" applyBorder="1" applyAlignment="1">
      <alignment horizontal="left"/>
    </xf>
    <xf numFmtId="0" fontId="19" fillId="0" borderId="0" xfId="0" applyFont="1" applyAlignment="1">
      <alignment horizontal="left"/>
    </xf>
    <xf numFmtId="167" fontId="4" fillId="0" borderId="1" xfId="28" applyNumberFormat="1" applyFont="1" applyFill="1" applyBorder="1" applyAlignment="1">
      <alignment horizontal="right" vertical="center" indent="2"/>
    </xf>
    <xf numFmtId="167" fontId="4" fillId="0" borderId="2" xfId="28" applyNumberFormat="1" applyFont="1" applyFill="1" applyBorder="1" applyAlignment="1">
      <alignment horizontal="right" vertical="center" indent="2"/>
    </xf>
    <xf numFmtId="0" fontId="0" fillId="0" borderId="3" xfId="0" applyBorder="1"/>
    <xf numFmtId="0" fontId="0" fillId="0" borderId="1" xfId="0" applyBorder="1"/>
    <xf numFmtId="165" fontId="4" fillId="0" borderId="3" xfId="0" applyNumberFormat="1" applyFont="1" applyBorder="1" applyAlignment="1">
      <alignment horizontal="center"/>
    </xf>
    <xf numFmtId="0" fontId="23" fillId="0" borderId="0" xfId="38" applyFont="1"/>
    <xf numFmtId="0" fontId="24" fillId="0" borderId="0" xfId="38" applyFont="1"/>
    <xf numFmtId="0" fontId="25" fillId="0" borderId="0" xfId="40"/>
    <xf numFmtId="0" fontId="19" fillId="0" borderId="0" xfId="0" applyFont="1"/>
    <xf numFmtId="0" fontId="1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8" fillId="3" borderId="9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9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49" fontId="4" fillId="0" borderId="0" xfId="22" applyNumberFormat="1" applyFont="1" applyAlignment="1">
      <alignment horizontal="left"/>
    </xf>
    <xf numFmtId="0" fontId="17" fillId="0" borderId="0" xfId="0" applyFont="1" applyAlignment="1">
      <alignment horizontal="left" vertical="center" wrapText="1"/>
    </xf>
  </cellXfs>
  <cellStyles count="41">
    <cellStyle name="Comma" xfId="1" builtinId="3"/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omma 5" xfId="5" xr:uid="{00000000-0005-0000-0000-000004000000}"/>
    <cellStyle name="Hyperlink" xfId="40" builtinId="8"/>
    <cellStyle name="Hyperlink 2" xfId="27" xr:uid="{00000000-0005-0000-0000-000005000000}"/>
    <cellStyle name="Komma 2" xfId="28" xr:uid="{00000000-0005-0000-0000-000006000000}"/>
    <cellStyle name="Normal" xfId="0" builtinId="0"/>
    <cellStyle name="Normal 10" xfId="35" xr:uid="{00000000-0005-0000-0000-000008000000}"/>
    <cellStyle name="Normal 2" xfId="6" xr:uid="{00000000-0005-0000-0000-000009000000}"/>
    <cellStyle name="Normal 2 2" xfId="7" xr:uid="{00000000-0005-0000-0000-00000A000000}"/>
    <cellStyle name="Normal 2 3" xfId="8" xr:uid="{00000000-0005-0000-0000-00000B000000}"/>
    <cellStyle name="Normal 2 4" xfId="9" xr:uid="{00000000-0005-0000-0000-00000C000000}"/>
    <cellStyle name="Normal 2 5" xfId="29" xr:uid="{00000000-0005-0000-0000-00000D000000}"/>
    <cellStyle name="Normal 2 6" xfId="36" xr:uid="{00000000-0005-0000-0000-00000E000000}"/>
    <cellStyle name="Normal 3" xfId="10" xr:uid="{00000000-0005-0000-0000-00000F000000}"/>
    <cellStyle name="Normal 3 2" xfId="11" xr:uid="{00000000-0005-0000-0000-000010000000}"/>
    <cellStyle name="Normal 4" xfId="12" xr:uid="{00000000-0005-0000-0000-000011000000}"/>
    <cellStyle name="Normal 5" xfId="13" xr:uid="{00000000-0005-0000-0000-000012000000}"/>
    <cellStyle name="Normal 6" xfId="14" xr:uid="{00000000-0005-0000-0000-000013000000}"/>
    <cellStyle name="Normal 7" xfId="15" xr:uid="{00000000-0005-0000-0000-000014000000}"/>
    <cellStyle name="Normal 8" xfId="16" xr:uid="{00000000-0005-0000-0000-000015000000}"/>
    <cellStyle name="Normal 9" xfId="24" xr:uid="{00000000-0005-0000-0000-000016000000}"/>
    <cellStyle name="normální_List1" xfId="17" xr:uid="{00000000-0005-0000-0000-000017000000}"/>
    <cellStyle name="NumberCellStyle" xfId="18" xr:uid="{00000000-0005-0000-0000-000018000000}"/>
    <cellStyle name="Percent" xfId="19" builtinId="5"/>
    <cellStyle name="Percent 2" xfId="20" xr:uid="{00000000-0005-0000-0000-00001A000000}"/>
    <cellStyle name="Percentagem 2" xfId="30" xr:uid="{00000000-0005-0000-0000-00001B000000}"/>
    <cellStyle name="Prozent 2" xfId="31" xr:uid="{00000000-0005-0000-0000-00001C000000}"/>
    <cellStyle name="Prozent 3" xfId="39" xr:uid="{DAECA369-D724-43B6-9086-B40805E6AF81}"/>
    <cellStyle name="Standard 2" xfId="21" xr:uid="{00000000-0005-0000-0000-00001D000000}"/>
    <cellStyle name="Standard 3" xfId="22" xr:uid="{00000000-0005-0000-0000-00001E000000}"/>
    <cellStyle name="Standard 3 2" xfId="32" xr:uid="{00000000-0005-0000-0000-00001F000000}"/>
    <cellStyle name="Standard 4" xfId="25" xr:uid="{00000000-0005-0000-0000-000020000000}"/>
    <cellStyle name="Standard 5" xfId="26" xr:uid="{00000000-0005-0000-0000-000021000000}"/>
    <cellStyle name="Standard 6" xfId="33" xr:uid="{00000000-0005-0000-0000-000022000000}"/>
    <cellStyle name="Standard 7" xfId="34" xr:uid="{00000000-0005-0000-0000-000023000000}"/>
    <cellStyle name="Standard 8" xfId="37" xr:uid="{A254FF09-D8EB-432E-8EB8-37533DB99002}"/>
    <cellStyle name="Standard 9" xfId="38" xr:uid="{DB68BB3A-C10E-41A9-B907-73458430A6F4}"/>
    <cellStyle name="Table_LHS" xfId="23" xr:uid="{00000000-0005-0000-0000-000024000000}"/>
  </cellStyles>
  <dxfs count="1">
    <dxf>
      <font>
        <color theme="0" tint="-0.1499679555650502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AFAC"/>
      <rgbColor rgb="006A2E91"/>
      <rgbColor rgb="004E72B8"/>
      <rgbColor rgb="00E1D921"/>
      <rgbColor rgb="00B9D981"/>
      <rgbColor rgb="00B7E2E1"/>
      <rgbColor rgb="00CEEBE9"/>
      <rgbColor rgb="00A387BE"/>
      <rgbColor rgb="0000AFAC"/>
      <rgbColor rgb="006A2E91"/>
      <rgbColor rgb="004E72B8"/>
      <rgbColor rgb="00E1D921"/>
      <rgbColor rgb="00B9D981"/>
      <rgbColor rgb="00B7E2E1"/>
      <rgbColor rgb="00CEEBE9"/>
      <rgbColor rgb="00A387BE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3C7EB"/>
      <color rgb="FF000000"/>
      <color rgb="FF99CCFF"/>
      <color rgb="FFA6E6E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Electrical and electronic equipment (EEE) put on the market and waste EEE collected, treated, recovered, recycled and prepared for reuse, EU (2012-2023)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(thousand tonnes)</a:t>
            </a:r>
          </a:p>
        </c:rich>
      </c:tx>
      <c:layout>
        <c:manualLayout>
          <c:xMode val="edge"/>
          <c:yMode val="edge"/>
          <c:x val="5.3333333333333332E-3"/>
          <c:y val="8.778746723306864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829291338582676E-2"/>
          <c:y val="0.22430803861888193"/>
          <c:w val="0.90150404199475065"/>
          <c:h val="0.5276170212986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1'!$B$48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1'!$B$49:$B$53</c:f>
              <c:numCache>
                <c:formatCode>#,##0_ ;\-#,##0\ </c:formatCode>
                <c:ptCount val="5"/>
                <c:pt idx="0">
                  <c:v>7627.455402999999</c:v>
                </c:pt>
                <c:pt idx="1">
                  <c:v>2970.7055379999997</c:v>
                </c:pt>
                <c:pt idx="2">
                  <c:v>3108.4050000000002</c:v>
                </c:pt>
                <c:pt idx="3">
                  <c:v>2599.3310000000001</c:v>
                </c:pt>
                <c:pt idx="4">
                  <c:v>2417.4639999999999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5-42B1-A71B-2EA2405F971C}"/>
            </c:ext>
          </c:extLst>
        </c:ser>
        <c:ser>
          <c:idx val="1"/>
          <c:order val="1"/>
          <c:tx>
            <c:strRef>
              <c:f>'Figure 1'!$C$48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2644A7">
                <a:lumMod val="60000"/>
                <a:lumOff val="40000"/>
              </a:srgbClr>
            </a:solidFill>
            <a:ln w="1270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1'!$C$49:$C$53</c:f>
              <c:numCache>
                <c:formatCode>#,##0_ ;\-#,##0\ </c:formatCode>
                <c:ptCount val="5"/>
                <c:pt idx="0">
                  <c:v>7283.3110379999998</c:v>
                </c:pt>
                <c:pt idx="1">
                  <c:v>3031.7872889999994</c:v>
                </c:pt>
                <c:pt idx="2">
                  <c:v>3189.0143839999996</c:v>
                </c:pt>
                <c:pt idx="3">
                  <c:v>2717.9814749999996</c:v>
                </c:pt>
                <c:pt idx="4">
                  <c:v>2508.3467749999995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5-42B1-A71B-2EA2405F971C}"/>
            </c:ext>
          </c:extLst>
        </c:ser>
        <c:ser>
          <c:idx val="2"/>
          <c:order val="2"/>
          <c:tx>
            <c:strRef>
              <c:f>'Figure 1'!$D$48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644A7">
                <a:lumMod val="40000"/>
                <a:lumOff val="60000"/>
              </a:srgbClr>
            </a:solidFill>
            <a:ln w="1270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1'!$D$49:$D$53</c:f>
              <c:numCache>
                <c:formatCode>#,##0_ ;\-#,##0\ </c:formatCode>
                <c:ptCount val="5"/>
                <c:pt idx="0">
                  <c:v>7549.0020729999997</c:v>
                </c:pt>
                <c:pt idx="1">
                  <c:v>2962.5173830000003</c:v>
                </c:pt>
                <c:pt idx="2">
                  <c:v>2918.2640000000001</c:v>
                </c:pt>
                <c:pt idx="3">
                  <c:v>2643.4769999999999</c:v>
                </c:pt>
                <c:pt idx="4">
                  <c:v>2426.1559999999999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5-42B1-A71B-2EA2405F971C}"/>
            </c:ext>
          </c:extLst>
        </c:ser>
        <c:ser>
          <c:idx val="3"/>
          <c:order val="3"/>
          <c:tx>
            <c:strRef>
              <c:f>'Figure 1'!$E$48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1'!$E$49:$E$53</c:f>
              <c:numCache>
                <c:formatCode>#,##0_ ;\-#,##0\ </c:formatCode>
                <c:ptCount val="5"/>
                <c:pt idx="0">
                  <c:v>8037.8119999999999</c:v>
                </c:pt>
                <c:pt idx="1">
                  <c:v>3225.1030000000001</c:v>
                </c:pt>
                <c:pt idx="2">
                  <c:v>3147.7440000000001</c:v>
                </c:pt>
                <c:pt idx="3">
                  <c:v>2840.9180000000001</c:v>
                </c:pt>
                <c:pt idx="4">
                  <c:v>2605.54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05-42B1-A71B-2EA2405F971C}"/>
            </c:ext>
          </c:extLst>
        </c:ser>
        <c:ser>
          <c:idx val="4"/>
          <c:order val="4"/>
          <c:tx>
            <c:strRef>
              <c:f>'Figure 1'!$F$48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B09120">
                <a:lumMod val="60000"/>
                <a:lumOff val="40000"/>
              </a:srgbClr>
            </a:solidFill>
            <a:ln w="1270">
              <a:solidFill>
                <a:schemeClr val="bg1"/>
              </a:solidFill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1'!$F$49:$F$53</c:f>
              <c:numCache>
                <c:formatCode>#,##0_ ;\-#,##0\ </c:formatCode>
                <c:ptCount val="5"/>
                <c:pt idx="0">
                  <c:v>8512.1090000000004</c:v>
                </c:pt>
                <c:pt idx="1">
                  <c:v>3578.020379</c:v>
                </c:pt>
                <c:pt idx="2">
                  <c:v>3555.53</c:v>
                </c:pt>
                <c:pt idx="3">
                  <c:v>3272.348</c:v>
                </c:pt>
                <c:pt idx="4">
                  <c:v>3012.1930000000002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5-42B1-A71B-2EA2405F971C}"/>
            </c:ext>
          </c:extLst>
        </c:ser>
        <c:ser>
          <c:idx val="5"/>
          <c:order val="5"/>
          <c:tx>
            <c:strRef>
              <c:f>'Figure 1'!$G$48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B09120">
                <a:lumMod val="40000"/>
                <a:lumOff val="60000"/>
              </a:srgbClr>
            </a:solidFill>
            <a:ln w="1270">
              <a:solidFill>
                <a:schemeClr val="bg1"/>
              </a:solidFill>
              <a:round/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1'!$G$49:$G$53</c:f>
              <c:numCache>
                <c:formatCode>#,##0_ ;\-#,##0\ </c:formatCode>
                <c:ptCount val="5"/>
                <c:pt idx="0">
                  <c:v>9074.6869999999999</c:v>
                </c:pt>
                <c:pt idx="1">
                  <c:v>3759.1179999999999</c:v>
                </c:pt>
                <c:pt idx="2">
                  <c:v>3748.538</c:v>
                </c:pt>
                <c:pt idx="3">
                  <c:v>3431.3180000000002</c:v>
                </c:pt>
                <c:pt idx="4">
                  <c:v>3157.808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05-42B1-A71B-2EA2405F971C}"/>
            </c:ext>
          </c:extLst>
        </c:ser>
        <c:ser>
          <c:idx val="6"/>
          <c:order val="6"/>
          <c:tx>
            <c:strRef>
              <c:f>'Figure 1'!$H$48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>
              <a:solidFill>
                <a:schemeClr val="bg1"/>
              </a:solidFill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1'!$H$49:$H$53</c:f>
              <c:numCache>
                <c:formatCode>#,##0_ ;\-#,##0\ </c:formatCode>
                <c:ptCount val="5"/>
                <c:pt idx="0">
                  <c:v>10287.611999999999</c:v>
                </c:pt>
                <c:pt idx="1">
                  <c:v>3993.6869999999999</c:v>
                </c:pt>
                <c:pt idx="2">
                  <c:v>3926.1129999999998</c:v>
                </c:pt>
                <c:pt idx="3">
                  <c:v>3583.5659999999998</c:v>
                </c:pt>
                <c:pt idx="4">
                  <c:v>3261.98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05-42B1-A71B-2EA2405F971C}"/>
            </c:ext>
          </c:extLst>
        </c:ser>
        <c:ser>
          <c:idx val="7"/>
          <c:order val="7"/>
          <c:tx>
            <c:strRef>
              <c:f>'Figure 1'!$I$48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E04040">
                <a:lumMod val="60000"/>
                <a:lumOff val="40000"/>
              </a:srgbClr>
            </a:solidFill>
            <a:ln w="1270">
              <a:solidFill>
                <a:schemeClr val="bg1"/>
              </a:solidFill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1'!$I$49:$I$53</c:f>
              <c:numCache>
                <c:formatCode>#,##0_ ;\-#,##0\ </c:formatCode>
                <c:ptCount val="5"/>
                <c:pt idx="0">
                  <c:v>11214.00274</c:v>
                </c:pt>
                <c:pt idx="1">
                  <c:v>4516.1760899999999</c:v>
                </c:pt>
                <c:pt idx="2">
                  <c:v>4435.15038</c:v>
                </c:pt>
                <c:pt idx="3">
                  <c:v>4019.15562</c:v>
                </c:pt>
                <c:pt idx="4">
                  <c:v>3672.8446600000002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E-4A7C-87F5-78E7BA746F7D}"/>
            </c:ext>
          </c:extLst>
        </c:ser>
        <c:ser>
          <c:idx val="8"/>
          <c:order val="8"/>
          <c:tx>
            <c:strRef>
              <c:f>'Figure 1'!$J$48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208486">
                <a:lumMod val="100000"/>
              </a:srgbClr>
            </a:solidFill>
            <a:ln w="1270">
              <a:solidFill>
                <a:schemeClr val="bg1"/>
              </a:solidFill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1'!$J$49:$J$53</c:f>
              <c:numCache>
                <c:formatCode>#,##0_ ;\-#,##0\ </c:formatCode>
                <c:ptCount val="5"/>
                <c:pt idx="0">
                  <c:v>12402.57185</c:v>
                </c:pt>
                <c:pt idx="1">
                  <c:v>4718.6375099999996</c:v>
                </c:pt>
                <c:pt idx="2">
                  <c:v>4662.8585999999996</c:v>
                </c:pt>
                <c:pt idx="3">
                  <c:v>4313.9167699999998</c:v>
                </c:pt>
                <c:pt idx="4">
                  <c:v>3924.9160000000002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3-47C7-BB4D-A15EEECC72C1}"/>
            </c:ext>
          </c:extLst>
        </c:ser>
        <c:ser>
          <c:idx val="9"/>
          <c:order val="9"/>
          <c:tx>
            <c:strRef>
              <c:f>'Figure 1'!$K$48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208486">
                <a:lumMod val="60000"/>
                <a:lumOff val="40000"/>
              </a:srgbClr>
            </a:solidFill>
            <a:ln w="1270">
              <a:solidFill>
                <a:schemeClr val="bg1"/>
              </a:solidFill>
            </a:ln>
            <a:effectLst/>
          </c:spPr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1'!$K$49:$K$53</c:f>
              <c:numCache>
                <c:formatCode>#,##0_ ;\-#,##0\ </c:formatCode>
                <c:ptCount val="5"/>
                <c:pt idx="0">
                  <c:v>13735.967688327999</c:v>
                </c:pt>
                <c:pt idx="1">
                  <c:v>5057.9781541989996</c:v>
                </c:pt>
                <c:pt idx="2">
                  <c:v>4959.4998202040006</c:v>
                </c:pt>
                <c:pt idx="3">
                  <c:v>4557.7208535419995</c:v>
                </c:pt>
                <c:pt idx="4">
                  <c:v>4129.5065700799996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9-4F3E-BBC7-BA321C700B89}"/>
            </c:ext>
          </c:extLst>
        </c:ser>
        <c:ser>
          <c:idx val="10"/>
          <c:order val="10"/>
          <c:tx>
            <c:strRef>
              <c:f>'Figure 1'!$L$48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1'!$L$49:$L$53</c:f>
              <c:numCache>
                <c:formatCode>#,##0_ ;\-#,##0\ </c:formatCode>
                <c:ptCount val="5"/>
                <c:pt idx="0">
                  <c:v>14435.717325180001</c:v>
                </c:pt>
                <c:pt idx="1">
                  <c:v>4988.1415110309999</c:v>
                </c:pt>
                <c:pt idx="2">
                  <c:v>4874.8849133790009</c:v>
                </c:pt>
                <c:pt idx="3">
                  <c:v>4474.2704247689999</c:v>
                </c:pt>
                <c:pt idx="4">
                  <c:v>4026.3795172560003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0-4088-BE2A-2CE690935D84}"/>
            </c:ext>
          </c:extLst>
        </c:ser>
        <c:ser>
          <c:idx val="11"/>
          <c:order val="11"/>
          <c:tx>
            <c:strRef>
              <c:f>'Figure 1'!$M$48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'Figure 1'!$A$49:$A$53</c:f>
              <c:strCache>
                <c:ptCount val="5"/>
                <c:pt idx="0">
                  <c:v>Total put on the market</c:v>
                </c:pt>
                <c:pt idx="1">
                  <c:v>Total collected</c:v>
                </c:pt>
                <c:pt idx="2">
                  <c:v>Total treatment</c:v>
                </c:pt>
                <c:pt idx="3">
                  <c:v>Total recovered (incl. recycling, energy recovery)</c:v>
                </c:pt>
                <c:pt idx="4">
                  <c:v>Total reused and recycled</c:v>
                </c:pt>
              </c:strCache>
            </c:strRef>
          </c:cat>
          <c:val>
            <c:numRef>
              <c:f>'Figure 1'!$M$49:$M$53</c:f>
              <c:numCache>
                <c:formatCode>#,##0_ ;\-#,##0\ </c:formatCode>
                <c:ptCount val="5"/>
                <c:pt idx="0">
                  <c:v>14446.861072983997</c:v>
                </c:pt>
                <c:pt idx="1">
                  <c:v>5206.3633477740004</c:v>
                </c:pt>
                <c:pt idx="2">
                  <c:v>5158.6051965760007</c:v>
                </c:pt>
                <c:pt idx="3">
                  <c:v>4756.4927899319991</c:v>
                </c:pt>
                <c:pt idx="4">
                  <c:v>4281.1052872390001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4-49A5-8307-18CC91E4E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829328"/>
        <c:axId val="427833640"/>
      </c:barChart>
      <c:catAx>
        <c:axId val="42782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crossAx val="427833640"/>
        <c:crosses val="autoZero"/>
        <c:auto val="1"/>
        <c:lblAlgn val="ctr"/>
        <c:lblOffset val="100"/>
        <c:tickMarkSkip val="1"/>
        <c:noMultiLvlLbl val="0"/>
      </c:catAx>
      <c:valAx>
        <c:axId val="427833640"/>
        <c:scaling>
          <c:orientation val="minMax"/>
          <c:max val="140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_ ;\-#,##0\ 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427829328"/>
        <c:crosses val="autoZero"/>
        <c:crossBetween val="between"/>
        <c:minorUnit val="100"/>
      </c:valAx>
    </c:plotArea>
    <c:legend>
      <c:legendPos val="b"/>
      <c:layout>
        <c:manualLayout>
          <c:xMode val="edge"/>
          <c:yMode val="edge"/>
          <c:x val="0.18851296587926508"/>
          <c:y val="0.87517503490329462"/>
          <c:w val="0.72977335186042935"/>
          <c:h val="4.230457308764594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8740157499999996" l="0.7" r="0.7" t="0.78740157499999996" header="0.3" footer="0.3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Total collection rate for waste electrical and electronic equipment (EEE),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average weight of EEE put on the market in the three preceding years)</a:t>
            </a:r>
          </a:p>
        </c:rich>
      </c:tx>
      <c:layout>
        <c:manualLayout>
          <c:xMode val="edge"/>
          <c:yMode val="edge"/>
          <c:x val="5.3333333333333332E-3"/>
          <c:y val="7.3092273671860868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4581908597536244"/>
          <c:w val="0.97066666666666668"/>
          <c:h val="0.6356154477354991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'Figure 2a'!$B$59</c:f>
              <c:strCache>
                <c:ptCount val="1"/>
                <c:pt idx="0">
                  <c:v>Share of WEEE collected 
(% of EEE put on market in the three preceding years)</c:v>
                </c:pt>
              </c:strCache>
            </c:strRef>
          </c:tx>
          <c:spPr>
            <a:solidFill>
              <a:schemeClr val="accent1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'Figure 2a'!$A$60:$A$84</c:f>
              <c:strCache>
                <c:ptCount val="25"/>
                <c:pt idx="0">
                  <c:v>EU (¹)</c:v>
                </c:pt>
                <c:pt idx="2">
                  <c:v>Bulgaria</c:v>
                </c:pt>
                <c:pt idx="3">
                  <c:v>Slovakia</c:v>
                </c:pt>
                <c:pt idx="4">
                  <c:v>Latvia</c:v>
                </c:pt>
                <c:pt idx="5">
                  <c:v>Czechia</c:v>
                </c:pt>
                <c:pt idx="6">
                  <c:v>Belgium</c:v>
                </c:pt>
                <c:pt idx="7">
                  <c:v>Lithuania</c:v>
                </c:pt>
                <c:pt idx="8">
                  <c:v>Austria</c:v>
                </c:pt>
                <c:pt idx="9">
                  <c:v>Finland</c:v>
                </c:pt>
                <c:pt idx="10">
                  <c:v>Estonia</c:v>
                </c:pt>
                <c:pt idx="11">
                  <c:v>France</c:v>
                </c:pt>
                <c:pt idx="12">
                  <c:v>Croatia</c:v>
                </c:pt>
                <c:pt idx="13">
                  <c:v>Ireland</c:v>
                </c:pt>
                <c:pt idx="14">
                  <c:v>Spain</c:v>
                </c:pt>
                <c:pt idx="15">
                  <c:v>Greece</c:v>
                </c:pt>
                <c:pt idx="16">
                  <c:v>Slovenia</c:v>
                </c:pt>
                <c:pt idx="17">
                  <c:v>Germany</c:v>
                </c:pt>
                <c:pt idx="18">
                  <c:v>Italy</c:v>
                </c:pt>
                <c:pt idx="19">
                  <c:v>Netherlands</c:v>
                </c:pt>
                <c:pt idx="20">
                  <c:v>Portugal</c:v>
                </c:pt>
                <c:pt idx="21">
                  <c:v>Malta</c:v>
                </c:pt>
                <c:pt idx="22">
                  <c:v>Cyprus</c:v>
                </c:pt>
                <c:pt idx="24">
                  <c:v>Norway</c:v>
                </c:pt>
              </c:strCache>
            </c:strRef>
          </c:cat>
          <c:val>
            <c:numRef>
              <c:f>'Figure 2a'!$B$60:$B$84</c:f>
              <c:numCache>
                <c:formatCode>0.0</c:formatCode>
                <c:ptCount val="25"/>
                <c:pt idx="0">
                  <c:v>37.470166723141396</c:v>
                </c:pt>
                <c:pt idx="2">
                  <c:v>100.663528</c:v>
                </c:pt>
                <c:pt idx="3">
                  <c:v>67.296600999999995</c:v>
                </c:pt>
                <c:pt idx="4">
                  <c:v>65.106798999999995</c:v>
                </c:pt>
                <c:pt idx="5">
                  <c:v>61.722704999999998</c:v>
                </c:pt>
                <c:pt idx="6">
                  <c:v>50.038271999999999</c:v>
                </c:pt>
                <c:pt idx="7">
                  <c:v>49.318866999999997</c:v>
                </c:pt>
                <c:pt idx="8">
                  <c:v>48.5</c:v>
                </c:pt>
                <c:pt idx="9">
                  <c:v>45.860816999999997</c:v>
                </c:pt>
                <c:pt idx="10">
                  <c:v>45.217740999999997</c:v>
                </c:pt>
                <c:pt idx="11">
                  <c:v>44.224079000000003</c:v>
                </c:pt>
                <c:pt idx="12">
                  <c:v>43.885047</c:v>
                </c:pt>
                <c:pt idx="13">
                  <c:v>43.640332999999998</c:v>
                </c:pt>
                <c:pt idx="14">
                  <c:v>40.267470000000003</c:v>
                </c:pt>
                <c:pt idx="15">
                  <c:v>38.949482000000003</c:v>
                </c:pt>
                <c:pt idx="16">
                  <c:v>30.881858999999999</c:v>
                </c:pt>
                <c:pt idx="17">
                  <c:v>29.521922</c:v>
                </c:pt>
                <c:pt idx="18">
                  <c:v>29.171447000000001</c:v>
                </c:pt>
                <c:pt idx="19">
                  <c:v>28.612131000000002</c:v>
                </c:pt>
                <c:pt idx="20">
                  <c:v>28.308344999999999</c:v>
                </c:pt>
                <c:pt idx="21">
                  <c:v>28.226077</c:v>
                </c:pt>
                <c:pt idx="22">
                  <c:v>24.127891000000002</c:v>
                </c:pt>
                <c:pt idx="24">
                  <c:v>47.784421000000002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4-46F7-9935-B0FB8360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830504"/>
        <c:axId val="427830896"/>
      </c:barChart>
      <c:lineChart>
        <c:grouping val="standard"/>
        <c:varyColors val="0"/>
        <c:ser>
          <c:idx val="3"/>
          <c:order val="1"/>
          <c:tx>
            <c:strRef>
              <c:f>'Figure 2a'!$C$59</c:f>
              <c:strCache>
                <c:ptCount val="1"/>
                <c:pt idx="0">
                  <c:v>Target 45 %</c:v>
                </c:pt>
              </c:strCache>
            </c:strRef>
          </c:tx>
          <c:spPr>
            <a:ln>
              <a:solidFill>
                <a:schemeClr val="accent2"/>
              </a:solidFill>
            </a:ln>
            <a:effectLst/>
          </c:spPr>
          <c:marker>
            <c:symbol val="none"/>
          </c:marker>
          <c:cat>
            <c:strRef>
              <c:f>'Figure 2a'!$A$60:$A$84</c:f>
              <c:strCache>
                <c:ptCount val="25"/>
                <c:pt idx="0">
                  <c:v>EU (¹)</c:v>
                </c:pt>
                <c:pt idx="2">
                  <c:v>Bulgaria</c:v>
                </c:pt>
                <c:pt idx="3">
                  <c:v>Slovakia</c:v>
                </c:pt>
                <c:pt idx="4">
                  <c:v>Latvia</c:v>
                </c:pt>
                <c:pt idx="5">
                  <c:v>Czechia</c:v>
                </c:pt>
                <c:pt idx="6">
                  <c:v>Belgium</c:v>
                </c:pt>
                <c:pt idx="7">
                  <c:v>Lithuania</c:v>
                </c:pt>
                <c:pt idx="8">
                  <c:v>Austria</c:v>
                </c:pt>
                <c:pt idx="9">
                  <c:v>Finland</c:v>
                </c:pt>
                <c:pt idx="10">
                  <c:v>Estonia</c:v>
                </c:pt>
                <c:pt idx="11">
                  <c:v>France</c:v>
                </c:pt>
                <c:pt idx="12">
                  <c:v>Croatia</c:v>
                </c:pt>
                <c:pt idx="13">
                  <c:v>Ireland</c:v>
                </c:pt>
                <c:pt idx="14">
                  <c:v>Spain</c:v>
                </c:pt>
                <c:pt idx="15">
                  <c:v>Greece</c:v>
                </c:pt>
                <c:pt idx="16">
                  <c:v>Slovenia</c:v>
                </c:pt>
                <c:pt idx="17">
                  <c:v>Germany</c:v>
                </c:pt>
                <c:pt idx="18">
                  <c:v>Italy</c:v>
                </c:pt>
                <c:pt idx="19">
                  <c:v>Netherlands</c:v>
                </c:pt>
                <c:pt idx="20">
                  <c:v>Portugal</c:v>
                </c:pt>
                <c:pt idx="21">
                  <c:v>Malta</c:v>
                </c:pt>
                <c:pt idx="22">
                  <c:v>Cyprus</c:v>
                </c:pt>
                <c:pt idx="24">
                  <c:v>Norway</c:v>
                </c:pt>
              </c:strCache>
            </c:strRef>
          </c:cat>
          <c:val>
            <c:numRef>
              <c:f>'Figure 2a'!$C$60:$C$84</c:f>
              <c:numCache>
                <c:formatCode>General</c:formatCode>
                <c:ptCount val="25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24-46F7-9935-B0FB83605506}"/>
            </c:ext>
          </c:extLst>
        </c:ser>
        <c:ser>
          <c:idx val="4"/>
          <c:order val="2"/>
          <c:tx>
            <c:strRef>
              <c:f>'Figure 2a'!$D$59</c:f>
              <c:strCache>
                <c:ptCount val="1"/>
                <c:pt idx="0">
                  <c:v>Target 65 %</c:v>
                </c:pt>
              </c:strCache>
            </c:strRef>
          </c:tx>
          <c:spPr>
            <a:ln>
              <a:solidFill>
                <a:schemeClr val="accent3"/>
              </a:solidFill>
            </a:ln>
            <a:effectLst/>
          </c:spPr>
          <c:marker>
            <c:symbol val="none"/>
          </c:marker>
          <c:cat>
            <c:strRef>
              <c:f>'Figure 2a'!$A$60:$A$84</c:f>
              <c:strCache>
                <c:ptCount val="25"/>
                <c:pt idx="0">
                  <c:v>EU (¹)</c:v>
                </c:pt>
                <c:pt idx="2">
                  <c:v>Bulgaria</c:v>
                </c:pt>
                <c:pt idx="3">
                  <c:v>Slovakia</c:v>
                </c:pt>
                <c:pt idx="4">
                  <c:v>Latvia</c:v>
                </c:pt>
                <c:pt idx="5">
                  <c:v>Czechia</c:v>
                </c:pt>
                <c:pt idx="6">
                  <c:v>Belgium</c:v>
                </c:pt>
                <c:pt idx="7">
                  <c:v>Lithuania</c:v>
                </c:pt>
                <c:pt idx="8">
                  <c:v>Austria</c:v>
                </c:pt>
                <c:pt idx="9">
                  <c:v>Finland</c:v>
                </c:pt>
                <c:pt idx="10">
                  <c:v>Estonia</c:v>
                </c:pt>
                <c:pt idx="11">
                  <c:v>France</c:v>
                </c:pt>
                <c:pt idx="12">
                  <c:v>Croatia</c:v>
                </c:pt>
                <c:pt idx="13">
                  <c:v>Ireland</c:v>
                </c:pt>
                <c:pt idx="14">
                  <c:v>Spain</c:v>
                </c:pt>
                <c:pt idx="15">
                  <c:v>Greece</c:v>
                </c:pt>
                <c:pt idx="16">
                  <c:v>Slovenia</c:v>
                </c:pt>
                <c:pt idx="17">
                  <c:v>Germany</c:v>
                </c:pt>
                <c:pt idx="18">
                  <c:v>Italy</c:v>
                </c:pt>
                <c:pt idx="19">
                  <c:v>Netherlands</c:v>
                </c:pt>
                <c:pt idx="20">
                  <c:v>Portugal</c:v>
                </c:pt>
                <c:pt idx="21">
                  <c:v>Malta</c:v>
                </c:pt>
                <c:pt idx="22">
                  <c:v>Cyprus</c:v>
                </c:pt>
                <c:pt idx="24">
                  <c:v>Norway</c:v>
                </c:pt>
              </c:strCache>
            </c:strRef>
          </c:cat>
          <c:val>
            <c:numRef>
              <c:f>'Figure 2a'!$D$60:$D$84</c:f>
              <c:numCache>
                <c:formatCode>General</c:formatCode>
                <c:ptCount val="25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24-46F7-9935-B0FB8360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30504"/>
        <c:axId val="427830896"/>
      </c:lineChart>
      <c:catAx>
        <c:axId val="427830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427830896"/>
        <c:crosses val="autoZero"/>
        <c:auto val="1"/>
        <c:lblAlgn val="ctr"/>
        <c:lblOffset val="100"/>
        <c:tickMarkSkip val="1"/>
        <c:noMultiLvlLbl val="0"/>
      </c:catAx>
      <c:valAx>
        <c:axId val="42783089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4278305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0548714372511746E-2"/>
          <c:y val="0.78874376107804778"/>
          <c:w val="0.82157900262467187"/>
          <c:h val="5.9482146996332017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Total collection rate for waste electrical and electronic equipment (WEEE) as share of generated WEEE,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 of the weight of WEEE generated in the same year)</a:t>
            </a:r>
          </a:p>
        </c:rich>
      </c:tx>
      <c:layout>
        <c:manualLayout>
          <c:xMode val="edge"/>
          <c:yMode val="edge"/>
          <c:x val="5.3333333333333332E-3"/>
          <c:y val="5.547324960876617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042103074207383E-2"/>
          <c:y val="0.18091305150595149"/>
          <c:w val="0.91729119929529124"/>
          <c:h val="0.5308973794829725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'Figure 2b'!$B$57</c:f>
              <c:strCache>
                <c:ptCount val="1"/>
                <c:pt idx="0">
                  <c:v>Share of WEEE collected 
(% of the weight of WEEE generated in the same year)</c:v>
                </c:pt>
              </c:strCache>
            </c:strRef>
          </c:tx>
          <c:spPr>
            <a:solidFill>
              <a:schemeClr val="accent1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723-4A53-99C6-1FAEE5CD3BFB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723-4A53-99C6-1FAEE5CD3BFB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295-49C7-BED6-DC161BACE24D}"/>
              </c:ext>
            </c:extLst>
          </c:dPt>
          <c:cat>
            <c:strRef>
              <c:f>'Figure 2b'!$A$58:$A$61</c:f>
              <c:strCache>
                <c:ptCount val="4"/>
                <c:pt idx="0">
                  <c:v>Poland</c:v>
                </c:pt>
                <c:pt idx="1">
                  <c:v>Luxembourg</c:v>
                </c:pt>
                <c:pt idx="2">
                  <c:v>Denmark</c:v>
                </c:pt>
                <c:pt idx="3">
                  <c:v>Hungary</c:v>
                </c:pt>
              </c:strCache>
            </c:strRef>
          </c:cat>
          <c:val>
            <c:numRef>
              <c:f>'Figure 2b'!$B$58:$B$61</c:f>
              <c:numCache>
                <c:formatCode>0.0</c:formatCode>
                <c:ptCount val="4"/>
                <c:pt idx="0">
                  <c:v>104.52819021558966</c:v>
                </c:pt>
                <c:pt idx="1">
                  <c:v>61.224398050721454</c:v>
                </c:pt>
                <c:pt idx="2">
                  <c:v>59.397618154743526</c:v>
                </c:pt>
                <c:pt idx="3">
                  <c:v>51.427892698876562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3-4E95-8972-663EFAD9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830504"/>
        <c:axId val="427830896"/>
      </c:barChart>
      <c:lineChart>
        <c:grouping val="standard"/>
        <c:varyColors val="0"/>
        <c:ser>
          <c:idx val="3"/>
          <c:order val="1"/>
          <c:tx>
            <c:strRef>
              <c:f>'Figure 2b'!$C$57</c:f>
              <c:strCache>
                <c:ptCount val="1"/>
                <c:pt idx="0">
                  <c:v>Target 85 %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  <a:effectLst/>
          </c:spPr>
          <c:marker>
            <c:symbol val="none"/>
          </c:marker>
          <c:cat>
            <c:strRef>
              <c:f>'Figure 2b'!$A$58:$A$61</c:f>
              <c:strCache>
                <c:ptCount val="4"/>
                <c:pt idx="0">
                  <c:v>Poland</c:v>
                </c:pt>
                <c:pt idx="1">
                  <c:v>Luxembourg</c:v>
                </c:pt>
                <c:pt idx="2">
                  <c:v>Denmark</c:v>
                </c:pt>
                <c:pt idx="3">
                  <c:v>Hungary</c:v>
                </c:pt>
              </c:strCache>
            </c:strRef>
          </c:cat>
          <c:val>
            <c:numRef>
              <c:f>'Figure 2b'!$C$58:$C$61</c:f>
              <c:numCache>
                <c:formatCode>General</c:formatCode>
                <c:ptCount val="4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3-4E95-8972-663EFAD99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30504"/>
        <c:axId val="427830896"/>
        <c:extLst/>
      </c:lineChart>
      <c:catAx>
        <c:axId val="427830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427830896"/>
        <c:crosses val="autoZero"/>
        <c:auto val="1"/>
        <c:lblAlgn val="ctr"/>
        <c:lblOffset val="100"/>
        <c:tickMarkSkip val="1"/>
        <c:noMultiLvlLbl val="0"/>
      </c:catAx>
      <c:valAx>
        <c:axId val="42783089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427830504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6.8239804786510552E-2"/>
          <c:y val="0.86016879349193676"/>
          <c:w val="0.850157559296843"/>
          <c:h val="5.7133506840409617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Electrical and electronic equipment put on the market in the three preceding years, waste EEE generated and collected, 2023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(kilograms per inhabitant)</a:t>
            </a:r>
          </a:p>
        </c:rich>
      </c:tx>
      <c:layout>
        <c:manualLayout>
          <c:xMode val="edge"/>
          <c:yMode val="edge"/>
          <c:x val="5.3333333333333332E-3"/>
          <c:y val="6.7356612291229311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3437644152100248"/>
          <c:w val="0.97066666666666668"/>
          <c:h val="0.56409637988705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3'!$B$64</c:f>
              <c:strCache>
                <c:ptCount val="1"/>
                <c:pt idx="0">
                  <c:v> EEE put on the market in the three preceding years (⁵)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 w="1270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1270">
                  <a:solidFill>
                    <a:sysClr val="window" lastClr="FFFFFF"/>
                  </a:solidFill>
                  <a:round/>
                </a14:hiddenLine>
              </a:ext>
            </a:extLst>
          </c:spPr>
          <c:invertIfNegative val="0"/>
          <c:cat>
            <c:strRef>
              <c:f>'Figure 3'!$A$65:$A$94</c:f>
              <c:strCache>
                <c:ptCount val="30"/>
                <c:pt idx="0">
                  <c:v>EU (¹) </c:v>
                </c:pt>
                <c:pt idx="2">
                  <c:v>Netherlands (²)</c:v>
                </c:pt>
                <c:pt idx="3">
                  <c:v>Denmark </c:v>
                </c:pt>
                <c:pt idx="4">
                  <c:v>Germany </c:v>
                </c:pt>
                <c:pt idx="5">
                  <c:v>France </c:v>
                </c:pt>
                <c:pt idx="6">
                  <c:v>Austria </c:v>
                </c:pt>
                <c:pt idx="7">
                  <c:v>Poland</c:v>
                </c:pt>
                <c:pt idx="8">
                  <c:v>Italy </c:v>
                </c:pt>
                <c:pt idx="9">
                  <c:v>Finland (²)</c:v>
                </c:pt>
                <c:pt idx="10">
                  <c:v>Belgium </c:v>
                </c:pt>
                <c:pt idx="11">
                  <c:v>Hungary </c:v>
                </c:pt>
                <c:pt idx="12">
                  <c:v>Ireland </c:v>
                </c:pt>
                <c:pt idx="13">
                  <c:v>Czechia </c:v>
                </c:pt>
                <c:pt idx="14">
                  <c:v>Slovenia </c:v>
                </c:pt>
                <c:pt idx="15">
                  <c:v>Estonia (²)</c:v>
                </c:pt>
                <c:pt idx="16">
                  <c:v>Spain (²)</c:v>
                </c:pt>
                <c:pt idx="17">
                  <c:v>Portugal </c:v>
                </c:pt>
                <c:pt idx="18">
                  <c:v>Greece </c:v>
                </c:pt>
                <c:pt idx="19">
                  <c:v>Malta </c:v>
                </c:pt>
                <c:pt idx="20">
                  <c:v>Luxembourg </c:v>
                </c:pt>
                <c:pt idx="21">
                  <c:v>Croatia </c:v>
                </c:pt>
                <c:pt idx="22">
                  <c:v>Lithuania </c:v>
                </c:pt>
                <c:pt idx="23">
                  <c:v>Slovakia </c:v>
                </c:pt>
                <c:pt idx="24">
                  <c:v>Latvia </c:v>
                </c:pt>
                <c:pt idx="25">
                  <c:v>Cyprus (²)</c:v>
                </c:pt>
                <c:pt idx="26">
                  <c:v>Bulgaria </c:v>
                </c:pt>
                <c:pt idx="28">
                  <c:v>Liechtenstein (³)</c:v>
                </c:pt>
                <c:pt idx="29">
                  <c:v>Norway </c:v>
                </c:pt>
              </c:strCache>
            </c:strRef>
          </c:cat>
          <c:val>
            <c:numRef>
              <c:f>'Figure 3'!$B$65:$B$94</c:f>
              <c:numCache>
                <c:formatCode>0.0</c:formatCode>
                <c:ptCount val="30"/>
                <c:pt idx="0">
                  <c:v>30.210125822390165</c:v>
                </c:pt>
                <c:pt idx="2">
                  <c:v>43.225800238347539</c:v>
                </c:pt>
                <c:pt idx="3">
                  <c:v>41.158903011063735</c:v>
                </c:pt>
                <c:pt idx="4">
                  <c:v>36.852146915955977</c:v>
                </c:pt>
                <c:pt idx="5">
                  <c:v>34.046544326454146</c:v>
                </c:pt>
                <c:pt idx="6">
                  <c:v>33.120227303364594</c:v>
                </c:pt>
                <c:pt idx="7">
                  <c:v>31.331456196907965</c:v>
                </c:pt>
                <c:pt idx="8">
                  <c:v>29.634391100785262</c:v>
                </c:pt>
                <c:pt idx="9">
                  <c:v>28.856601480270864</c:v>
                </c:pt>
                <c:pt idx="10">
                  <c:v>28.696427434104255</c:v>
                </c:pt>
                <c:pt idx="11">
                  <c:v>28.490639594073741</c:v>
                </c:pt>
                <c:pt idx="12">
                  <c:v>27.621152919047802</c:v>
                </c:pt>
                <c:pt idx="13">
                  <c:v>27.203722181240952</c:v>
                </c:pt>
                <c:pt idx="14">
                  <c:v>25.403652807177181</c:v>
                </c:pt>
                <c:pt idx="15">
                  <c:v>23.634082337829113</c:v>
                </c:pt>
                <c:pt idx="16">
                  <c:v>23.019709400371649</c:v>
                </c:pt>
                <c:pt idx="17">
                  <c:v>21.101682957522552</c:v>
                </c:pt>
                <c:pt idx="18">
                  <c:v>20.901227448175813</c:v>
                </c:pt>
                <c:pt idx="19">
                  <c:v>20.359350661333306</c:v>
                </c:pt>
                <c:pt idx="20">
                  <c:v>19.939051270489475</c:v>
                </c:pt>
                <c:pt idx="21">
                  <c:v>18.812647256748608</c:v>
                </c:pt>
                <c:pt idx="22">
                  <c:v>18.585602382540188</c:v>
                </c:pt>
                <c:pt idx="23">
                  <c:v>16.342296511560949</c:v>
                </c:pt>
                <c:pt idx="24">
                  <c:v>16.013322716067137</c:v>
                </c:pt>
                <c:pt idx="25">
                  <c:v>15.69802693780936</c:v>
                </c:pt>
                <c:pt idx="26">
                  <c:v>15.475547054255225</c:v>
                </c:pt>
                <c:pt idx="29">
                  <c:v>42.013597421286796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3-4988-931B-75D12F48FFDF}"/>
            </c:ext>
          </c:extLst>
        </c:ser>
        <c:ser>
          <c:idx val="1"/>
          <c:order val="1"/>
          <c:tx>
            <c:strRef>
              <c:f>'Figure 3'!$C$64</c:f>
              <c:strCache>
                <c:ptCount val="1"/>
                <c:pt idx="0">
                  <c:v>WEEE generated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  <a:ln w="1270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1270">
                  <a:solidFill>
                    <a:sysClr val="window" lastClr="FFFFFF"/>
                  </a:solidFill>
                  <a:round/>
                </a14:hiddenLine>
              </a:ext>
            </a:extLst>
          </c:spPr>
          <c:invertIfNegative val="0"/>
          <c:cat>
            <c:strRef>
              <c:f>'Figure 3'!$A$65:$A$94</c:f>
              <c:strCache>
                <c:ptCount val="30"/>
                <c:pt idx="0">
                  <c:v>EU (¹) </c:v>
                </c:pt>
                <c:pt idx="2">
                  <c:v>Netherlands (²)</c:v>
                </c:pt>
                <c:pt idx="3">
                  <c:v>Denmark </c:v>
                </c:pt>
                <c:pt idx="4">
                  <c:v>Germany </c:v>
                </c:pt>
                <c:pt idx="5">
                  <c:v>France </c:v>
                </c:pt>
                <c:pt idx="6">
                  <c:v>Austria </c:v>
                </c:pt>
                <c:pt idx="7">
                  <c:v>Poland</c:v>
                </c:pt>
                <c:pt idx="8">
                  <c:v>Italy </c:v>
                </c:pt>
                <c:pt idx="9">
                  <c:v>Finland (²)</c:v>
                </c:pt>
                <c:pt idx="10">
                  <c:v>Belgium </c:v>
                </c:pt>
                <c:pt idx="11">
                  <c:v>Hungary </c:v>
                </c:pt>
                <c:pt idx="12">
                  <c:v>Ireland </c:v>
                </c:pt>
                <c:pt idx="13">
                  <c:v>Czechia </c:v>
                </c:pt>
                <c:pt idx="14">
                  <c:v>Slovenia </c:v>
                </c:pt>
                <c:pt idx="15">
                  <c:v>Estonia (²)</c:v>
                </c:pt>
                <c:pt idx="16">
                  <c:v>Spain (²)</c:v>
                </c:pt>
                <c:pt idx="17">
                  <c:v>Portugal </c:v>
                </c:pt>
                <c:pt idx="18">
                  <c:v>Greece </c:v>
                </c:pt>
                <c:pt idx="19">
                  <c:v>Malta </c:v>
                </c:pt>
                <c:pt idx="20">
                  <c:v>Luxembourg </c:v>
                </c:pt>
                <c:pt idx="21">
                  <c:v>Croatia </c:v>
                </c:pt>
                <c:pt idx="22">
                  <c:v>Lithuania </c:v>
                </c:pt>
                <c:pt idx="23">
                  <c:v>Slovakia </c:v>
                </c:pt>
                <c:pt idx="24">
                  <c:v>Latvia </c:v>
                </c:pt>
                <c:pt idx="25">
                  <c:v>Cyprus (²)</c:v>
                </c:pt>
                <c:pt idx="26">
                  <c:v>Bulgaria </c:v>
                </c:pt>
                <c:pt idx="28">
                  <c:v>Liechtenstein (³)</c:v>
                </c:pt>
                <c:pt idx="29">
                  <c:v>Norway </c:v>
                </c:pt>
              </c:strCache>
            </c:strRef>
          </c:cat>
          <c:val>
            <c:numRef>
              <c:f>'Figure 3'!$C$65:$C$94</c:f>
              <c:numCache>
                <c:formatCode>0.0</c:formatCode>
                <c:ptCount val="30"/>
                <c:pt idx="2">
                  <c:v>21.215669170799998</c:v>
                </c:pt>
                <c:pt idx="3">
                  <c:v>25.264585001499999</c:v>
                </c:pt>
                <c:pt idx="7">
                  <c:v>14.553543832900001</c:v>
                </c:pt>
                <c:pt idx="9">
                  <c:v>21.667429871300001</c:v>
                </c:pt>
                <c:pt idx="11">
                  <c:v>15.8758891873</c:v>
                </c:pt>
                <c:pt idx="15">
                  <c:v>13.508128959900001</c:v>
                </c:pt>
                <c:pt idx="16">
                  <c:v>16.6353821252</c:v>
                </c:pt>
                <c:pt idx="20">
                  <c:v>14.3927836097</c:v>
                </c:pt>
                <c:pt idx="25">
                  <c:v>15.549348717000001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93-4988-931B-75D12F48FFDF}"/>
            </c:ext>
          </c:extLst>
        </c:ser>
        <c:ser>
          <c:idx val="2"/>
          <c:order val="2"/>
          <c:tx>
            <c:strRef>
              <c:f>'Figure 3'!$D$64</c:f>
              <c:strCache>
                <c:ptCount val="1"/>
                <c:pt idx="0">
                  <c:v>WEEE collected</c:v>
                </c:pt>
              </c:strCache>
            </c:strRef>
          </c:tx>
          <c:spPr>
            <a:solidFill>
              <a:srgbClr val="E04040">
                <a:lumMod val="100000"/>
              </a:srgbClr>
            </a:solidFill>
            <a:ln w="1270">
              <a:noFill/>
            </a:ln>
            <a:effectLst/>
            <a:extLst>
              <a:ext uri="{91240B29-F687-4F45-9708-019B960494DF}">
                <a14:hiddenLine xmlns:a14="http://schemas.microsoft.com/office/drawing/2010/main" w="1270">
                  <a:solidFill>
                    <a:sysClr val="window" lastClr="FFFFFF"/>
                  </a:solidFill>
                </a14:hiddenLine>
              </a:ext>
            </a:extLst>
          </c:spPr>
          <c:invertIfNegative val="0"/>
          <c:cat>
            <c:strRef>
              <c:f>'Figure 3'!$A$65:$A$94</c:f>
              <c:strCache>
                <c:ptCount val="30"/>
                <c:pt idx="0">
                  <c:v>EU (¹) </c:v>
                </c:pt>
                <c:pt idx="2">
                  <c:v>Netherlands (²)</c:v>
                </c:pt>
                <c:pt idx="3">
                  <c:v>Denmark </c:v>
                </c:pt>
                <c:pt idx="4">
                  <c:v>Germany </c:v>
                </c:pt>
                <c:pt idx="5">
                  <c:v>France </c:v>
                </c:pt>
                <c:pt idx="6">
                  <c:v>Austria </c:v>
                </c:pt>
                <c:pt idx="7">
                  <c:v>Poland</c:v>
                </c:pt>
                <c:pt idx="8">
                  <c:v>Italy </c:v>
                </c:pt>
                <c:pt idx="9">
                  <c:v>Finland (²)</c:v>
                </c:pt>
                <c:pt idx="10">
                  <c:v>Belgium </c:v>
                </c:pt>
                <c:pt idx="11">
                  <c:v>Hungary </c:v>
                </c:pt>
                <c:pt idx="12">
                  <c:v>Ireland </c:v>
                </c:pt>
                <c:pt idx="13">
                  <c:v>Czechia </c:v>
                </c:pt>
                <c:pt idx="14">
                  <c:v>Slovenia </c:v>
                </c:pt>
                <c:pt idx="15">
                  <c:v>Estonia (²)</c:v>
                </c:pt>
                <c:pt idx="16">
                  <c:v>Spain (²)</c:v>
                </c:pt>
                <c:pt idx="17">
                  <c:v>Portugal </c:v>
                </c:pt>
                <c:pt idx="18">
                  <c:v>Greece </c:v>
                </c:pt>
                <c:pt idx="19">
                  <c:v>Malta </c:v>
                </c:pt>
                <c:pt idx="20">
                  <c:v>Luxembourg </c:v>
                </c:pt>
                <c:pt idx="21">
                  <c:v>Croatia </c:v>
                </c:pt>
                <c:pt idx="22">
                  <c:v>Lithuania </c:v>
                </c:pt>
                <c:pt idx="23">
                  <c:v>Slovakia </c:v>
                </c:pt>
                <c:pt idx="24">
                  <c:v>Latvia </c:v>
                </c:pt>
                <c:pt idx="25">
                  <c:v>Cyprus (²)</c:v>
                </c:pt>
                <c:pt idx="26">
                  <c:v>Bulgaria </c:v>
                </c:pt>
                <c:pt idx="28">
                  <c:v>Liechtenstein (³)</c:v>
                </c:pt>
                <c:pt idx="29">
                  <c:v>Norway </c:v>
                </c:pt>
              </c:strCache>
            </c:strRef>
          </c:cat>
          <c:val>
            <c:numRef>
              <c:f>'Figure 3'!$D$65:$D$94</c:f>
              <c:numCache>
                <c:formatCode>0.0</c:formatCode>
                <c:ptCount val="30"/>
                <c:pt idx="0">
                  <c:v>11.629254911345406</c:v>
                </c:pt>
                <c:pt idx="2">
                  <c:v>12.275805217245185</c:v>
                </c:pt>
                <c:pt idx="3">
                  <c:v>15.006562989289554</c:v>
                </c:pt>
                <c:pt idx="4">
                  <c:v>10.87946053894693</c:v>
                </c:pt>
                <c:pt idx="5">
                  <c:v>15.222615198210573</c:v>
                </c:pt>
                <c:pt idx="6">
                  <c:v>15.872200334634254</c:v>
                </c:pt>
                <c:pt idx="7">
                  <c:v>15.212555980803522</c:v>
                </c:pt>
                <c:pt idx="8">
                  <c:v>8.6447808384431255</c:v>
                </c:pt>
                <c:pt idx="9">
                  <c:v>13.234613986022877</c:v>
                </c:pt>
                <c:pt idx="10">
                  <c:v>14.359196553193028</c:v>
                </c:pt>
                <c:pt idx="11">
                  <c:v>8.1646356818266277</c:v>
                </c:pt>
                <c:pt idx="12">
                  <c:v>12.039108070016631</c:v>
                </c:pt>
                <c:pt idx="13">
                  <c:v>16.790873047066643</c:v>
                </c:pt>
                <c:pt idx="14">
                  <c:v>7.8451237360941191</c:v>
                </c:pt>
                <c:pt idx="15">
                  <c:v>9.1204380401018614</c:v>
                </c:pt>
                <c:pt idx="16">
                  <c:v>9.2694545360689311</c:v>
                </c:pt>
                <c:pt idx="17">
                  <c:v>5.7883055141797399</c:v>
                </c:pt>
                <c:pt idx="18">
                  <c:v>8.1409198171561616</c:v>
                </c:pt>
                <c:pt idx="19">
                  <c:v>5.7466254905046972</c:v>
                </c:pt>
                <c:pt idx="20">
                  <c:v>8.811901739043666</c:v>
                </c:pt>
                <c:pt idx="21">
                  <c:v>8.3086185528301364</c:v>
                </c:pt>
                <c:pt idx="22">
                  <c:v>9.1662085572950129</c:v>
                </c:pt>
                <c:pt idx="23">
                  <c:v>10.940058021948539</c:v>
                </c:pt>
                <c:pt idx="24">
                  <c:v>10.425715799930224</c:v>
                </c:pt>
                <c:pt idx="25">
                  <c:v>3.7876028022672492</c:v>
                </c:pt>
                <c:pt idx="26">
                  <c:v>17.94086227373813</c:v>
                </c:pt>
                <c:pt idx="28">
                  <c:v>22.415835968478643</c:v>
                </c:pt>
                <c:pt idx="29">
                  <c:v>20.075954228933778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C-4590-AB6C-8D488799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5"/>
        <c:axId val="427830112"/>
        <c:axId val="427832856"/>
      </c:barChart>
      <c:catAx>
        <c:axId val="427830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427832856"/>
        <c:crosses val="autoZero"/>
        <c:auto val="1"/>
        <c:lblAlgn val="ctr"/>
        <c:lblOffset val="100"/>
        <c:tickMarkSkip val="1"/>
        <c:noMultiLvlLbl val="0"/>
      </c:catAx>
      <c:valAx>
        <c:axId val="427832856"/>
        <c:scaling>
          <c:orientation val="minMax"/>
          <c:max val="45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42783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5832545931758528E-2"/>
          <c:y val="0.71699588978814088"/>
          <c:w val="0.82833490813648292"/>
          <c:h val="3.2458992353035634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0" i="1">
                <a:latin typeface="Arial"/>
                <a:ea typeface="Arial"/>
                <a:cs typeface="Arial"/>
              </a:defRPr>
            </a:pPr>
            <a:r>
              <a:rPr lang="en-US" b="0" i="1"/>
              <a:t>Waste electrical and electronic equipment collected, 2023</a:t>
            </a:r>
          </a:p>
        </c:rich>
      </c:tx>
      <c:layout>
        <c:manualLayout>
          <c:xMode val="edge"/>
          <c:yMode val="edge"/>
          <c:x val="5.3333333333333332E-3"/>
          <c:y val="7.309227367186086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0902362204724415E-2"/>
          <c:y val="0.15807125029082236"/>
          <c:w val="0.9121980052493438"/>
          <c:h val="0.4684866546889340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Figure_main_page!$B$1</c:f>
              <c:strCache>
                <c:ptCount val="1"/>
                <c:pt idx="0">
                  <c:v>WEEE collected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Figure_main_page!$A$2:$A$31</c:f>
              <c:strCache>
                <c:ptCount val="30"/>
                <c:pt idx="0">
                  <c:v>EU</c:v>
                </c:pt>
                <c:pt idx="2">
                  <c:v>BG</c:v>
                </c:pt>
                <c:pt idx="3">
                  <c:v>CZ</c:v>
                </c:pt>
                <c:pt idx="4">
                  <c:v>AT</c:v>
                </c:pt>
                <c:pt idx="5">
                  <c:v>FR</c:v>
                </c:pt>
                <c:pt idx="6">
                  <c:v>PL</c:v>
                </c:pt>
                <c:pt idx="7">
                  <c:v>DK</c:v>
                </c:pt>
                <c:pt idx="8">
                  <c:v>BE</c:v>
                </c:pt>
                <c:pt idx="9">
                  <c:v>FI</c:v>
                </c:pt>
                <c:pt idx="10">
                  <c:v>NL</c:v>
                </c:pt>
                <c:pt idx="11">
                  <c:v>IE</c:v>
                </c:pt>
                <c:pt idx="12">
                  <c:v>SK</c:v>
                </c:pt>
                <c:pt idx="13">
                  <c:v>DE</c:v>
                </c:pt>
                <c:pt idx="14">
                  <c:v>LV</c:v>
                </c:pt>
                <c:pt idx="15">
                  <c:v>ES</c:v>
                </c:pt>
                <c:pt idx="16">
                  <c:v>LT</c:v>
                </c:pt>
                <c:pt idx="17">
                  <c:v>EE</c:v>
                </c:pt>
                <c:pt idx="18">
                  <c:v>LU</c:v>
                </c:pt>
                <c:pt idx="19">
                  <c:v>IT</c:v>
                </c:pt>
                <c:pt idx="20">
                  <c:v>HR</c:v>
                </c:pt>
                <c:pt idx="21">
                  <c:v>HU</c:v>
                </c:pt>
                <c:pt idx="22">
                  <c:v>EL</c:v>
                </c:pt>
                <c:pt idx="23">
                  <c:v>SI</c:v>
                </c:pt>
                <c:pt idx="24">
                  <c:v>PT</c:v>
                </c:pt>
                <c:pt idx="25">
                  <c:v>MT</c:v>
                </c:pt>
                <c:pt idx="26">
                  <c:v>CY</c:v>
                </c:pt>
                <c:pt idx="28">
                  <c:v>LI</c:v>
                </c:pt>
                <c:pt idx="29">
                  <c:v>NO</c:v>
                </c:pt>
              </c:strCache>
            </c:strRef>
          </c:cat>
          <c:val>
            <c:numRef>
              <c:f>Figure_main_page!$B$2:$B$31</c:f>
              <c:numCache>
                <c:formatCode>0.0</c:formatCode>
                <c:ptCount val="30"/>
                <c:pt idx="0">
                  <c:v>11.629254911345406</c:v>
                </c:pt>
                <c:pt idx="2">
                  <c:v>17.94086227373813</c:v>
                </c:pt>
                <c:pt idx="3">
                  <c:v>16.790873047066643</c:v>
                </c:pt>
                <c:pt idx="4">
                  <c:v>15.872200334634254</c:v>
                </c:pt>
                <c:pt idx="5">
                  <c:v>15.222615198210573</c:v>
                </c:pt>
                <c:pt idx="6">
                  <c:v>15.212555980803522</c:v>
                </c:pt>
                <c:pt idx="7">
                  <c:v>15.006562989289554</c:v>
                </c:pt>
                <c:pt idx="8">
                  <c:v>14.359196553193028</c:v>
                </c:pt>
                <c:pt idx="9">
                  <c:v>13.234613986022877</c:v>
                </c:pt>
                <c:pt idx="10">
                  <c:v>12.275805217245185</c:v>
                </c:pt>
                <c:pt idx="11">
                  <c:v>12.039108070016631</c:v>
                </c:pt>
                <c:pt idx="12">
                  <c:v>10.940058021948539</c:v>
                </c:pt>
                <c:pt idx="13">
                  <c:v>10.87946053894693</c:v>
                </c:pt>
                <c:pt idx="14">
                  <c:v>10.425715799930224</c:v>
                </c:pt>
                <c:pt idx="15">
                  <c:v>9.2694545360689311</c:v>
                </c:pt>
                <c:pt idx="16">
                  <c:v>9.1662085572950129</c:v>
                </c:pt>
                <c:pt idx="17">
                  <c:v>9.1204380401018614</c:v>
                </c:pt>
                <c:pt idx="18">
                  <c:v>8.811901739043666</c:v>
                </c:pt>
                <c:pt idx="19">
                  <c:v>8.6447808384431255</c:v>
                </c:pt>
                <c:pt idx="20">
                  <c:v>8.3086185528301364</c:v>
                </c:pt>
                <c:pt idx="21">
                  <c:v>8.1646356818266277</c:v>
                </c:pt>
                <c:pt idx="22">
                  <c:v>8.1409198171561616</c:v>
                </c:pt>
                <c:pt idx="23">
                  <c:v>7.8451237360941191</c:v>
                </c:pt>
                <c:pt idx="24">
                  <c:v>5.7883055141797399</c:v>
                </c:pt>
                <c:pt idx="25">
                  <c:v>5.7466254905046972</c:v>
                </c:pt>
                <c:pt idx="26">
                  <c:v>3.7876028022672492</c:v>
                </c:pt>
                <c:pt idx="28">
                  <c:v>22.415835968478643</c:v>
                </c:pt>
                <c:pt idx="29">
                  <c:v>20.075954228933778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E-4A02-B021-04F6C7C9E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830504"/>
        <c:axId val="427830896"/>
      </c:barChart>
      <c:catAx>
        <c:axId val="427830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427830896"/>
        <c:crosses val="autoZero"/>
        <c:auto val="1"/>
        <c:lblAlgn val="ctr"/>
        <c:lblOffset val="100"/>
        <c:tickMarkSkip val="1"/>
        <c:noMultiLvlLbl val="0"/>
      </c:catAx>
      <c:valAx>
        <c:axId val="42783089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 sz="1100" b="0"/>
                  <a:t>(kilograms per inhabitant)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50"/>
            </a:pPr>
            <a:endParaRPr lang="en-US"/>
          </a:p>
        </c:txPr>
        <c:crossAx val="427830504"/>
        <c:crosses val="autoZero"/>
        <c:crossBetween val="between"/>
        <c:majorUnit val="2"/>
      </c:valAx>
    </c:plotArea>
    <c:legend>
      <c:legendPos val="b"/>
      <c:layout>
        <c:manualLayout>
          <c:xMode val="edge"/>
          <c:yMode val="edge"/>
          <c:x val="8.9210498687664036E-2"/>
          <c:y val="0.80153490897062341"/>
          <c:w val="0.82157900262467187"/>
          <c:h val="5.9482146996332017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ons.wikimedia.org/wiki/Category:Eurostat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ons.wikimedia.org/wiki/Category:Eurostat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ons.wikimedia.org/wiki/Category:Eurostat" TargetMode="Externa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ons.wikimedia.org/wiki/Category:Eurostat" TargetMode="External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https://commons.wikimedia.org/wiki/Category:Eurostat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104777</xdr:rowOff>
    </xdr:from>
    <xdr:to>
      <xdr:col>10</xdr:col>
      <xdr:colOff>733425</xdr:colOff>
      <xdr:row>39</xdr:row>
      <xdr:rowOff>24080</xdr:rowOff>
    </xdr:to>
    <xdr:graphicFrame macro="">
      <xdr:nvGraphicFramePr>
        <xdr:cNvPr id="1194" name="Diagramm 2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0.02858</cdr:x>
      <cdr:y>0.8721</cdr:y>
    </cdr:from>
    <cdr:to>
      <cdr:x>0.56422</cdr:x>
      <cdr:y>0.94249</cdr:y>
    </cdr:to>
    <cdr:sp macro="" textlink="">
      <cdr:nvSpPr>
        <cdr:cNvPr id="2" name="Rechteck 1"/>
        <cdr:cNvSpPr/>
      </cdr:nvSpPr>
      <cdr:spPr>
        <a:xfrm xmlns:a="http://schemas.openxmlformats.org/drawingml/2006/main">
          <a:off x="251230" y="3761864"/>
          <a:ext cx="4674163" cy="3047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/>
        </a:p>
      </cdr:txBody>
    </cdr:sp>
  </cdr:relSizeAnchor>
  <cdr:absSizeAnchor xmlns:cdr="http://schemas.openxmlformats.org/drawingml/2006/chartDrawing">
    <cdr:from>
      <cdr:x>0</cdr:x>
      <cdr:y>0.91621</cdr:y>
    </cdr:from>
    <cdr:ext cx="7995000" cy="484876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A16D3AFE-F05C-AD6B-8F39-E0B2E8892B3D}"/>
            </a:ext>
          </a:extLst>
        </cdr:cNvPr>
        <cdr:cNvSpPr txBox="1"/>
      </cdr:nvSpPr>
      <cdr:spPr>
        <a:xfrm xmlns:a="http://schemas.openxmlformats.org/drawingml/2006/main">
          <a:off x="0" y="5301827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2022</a:t>
          </a:r>
          <a:r>
            <a:rPr lang="en-GB" sz="1200" baseline="0">
              <a:latin typeface="Arial" panose="020B0604020202020204" pitchFamily="34" charset="0"/>
            </a:rPr>
            <a:t> and </a:t>
          </a:r>
          <a:r>
            <a:rPr lang="en-GB" sz="1200">
              <a:latin typeface="Arial" panose="020B0604020202020204" pitchFamily="34" charset="0"/>
            </a:rPr>
            <a:t>2023: Eurostat estimates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env_waseleeos and env_waselee)</a:t>
          </a:r>
        </a:p>
      </cdr:txBody>
    </cdr:sp>
  </cdr:absSizeAnchor>
  <cdr:absSizeAnchor xmlns:cdr="http://schemas.openxmlformats.org/drawingml/2006/chartDrawing">
    <cdr:from>
      <cdr:x>0.83948</cdr:x>
      <cdr:y>0.91309</cdr:y>
    </cdr:from>
    <cdr:ext cx="1527863" cy="502921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548958B1-FABD-EE1B-BD4E-9CDA433FDB3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8155920" y="5283781"/>
          <a:ext cx="1527863" cy="502921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55247</xdr:rowOff>
    </xdr:from>
    <xdr:to>
      <xdr:col>11</xdr:col>
      <xdr:colOff>165099</xdr:colOff>
      <xdr:row>46</xdr:row>
      <xdr:rowOff>42591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0.8493</cdr:y>
    </cdr:from>
    <cdr:ext cx="7995000" cy="1026820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46F6A24C-D781-7DD4-6FA9-AA09B518B8B0}"/>
            </a:ext>
          </a:extLst>
        </cdr:cNvPr>
        <cdr:cNvSpPr txBox="1"/>
      </cdr:nvSpPr>
      <cdr:spPr>
        <a:xfrm xmlns:a="http://schemas.openxmlformats.org/drawingml/2006/main">
          <a:off x="0" y="5797610"/>
          <a:ext cx="7995000" cy="1026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(¹) Eurostat estimate. 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65 % target not </a:t>
          </a:r>
          <a:r>
            <a:rPr lang="en-GB" sz="1200">
              <a:latin typeface="Arial" panose="020B0604020202020204" pitchFamily="34" charset="0"/>
              <a:ea typeface="+mn-ea"/>
              <a:cs typeface="+mn-cs"/>
            </a:rPr>
            <a:t>applicable: Denmark, Luxembourg, Hungary, Poland</a:t>
          </a:r>
          <a:r>
            <a:rPr lang="en-GB" sz="1200">
              <a:latin typeface="Arial" panose="020B0604020202020204" pitchFamily="34" charset="0"/>
            </a:rPr>
            <a:t>. </a:t>
          </a:r>
        </a:p>
        <a:p xmlns:a="http://schemas.openxmlformats.org/drawingml/2006/main">
          <a:r>
            <a:rPr lang="en-GB" sz="1200" baseline="0">
              <a:latin typeface="Arial" panose="020B0604020202020204" pitchFamily="34" charset="0"/>
            </a:rPr>
            <a:t>    </a:t>
          </a:r>
          <a:r>
            <a:rPr lang="en-GB" sz="1200">
              <a:latin typeface="Arial" panose="020B0604020202020204" pitchFamily="34" charset="0"/>
            </a:rPr>
            <a:t>Country applies calculation methodology based on WEEE generated: see Figure 2b.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(³) No data available for Romania and Sweden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env_waseleeos)</a:t>
          </a:r>
        </a:p>
      </cdr:txBody>
    </cdr:sp>
  </cdr:absSizeAnchor>
  <cdr:absSizeAnchor xmlns:cdr="http://schemas.openxmlformats.org/drawingml/2006/chartDrawing">
    <cdr:from>
      <cdr:x>0.83948</cdr:x>
      <cdr:y>0.92764</cdr:y>
    </cdr:from>
    <cdr:ext cx="1527832" cy="502911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A23ABC31-D10D-70D2-E480-07324B0A0B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7996036" y="6447208"/>
          <a:ext cx="1527832" cy="502911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92076</xdr:rowOff>
    </xdr:from>
    <xdr:to>
      <xdr:col>7</xdr:col>
      <xdr:colOff>596900</xdr:colOff>
      <xdr:row>48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0.92848</cdr:y>
    </cdr:from>
    <cdr:ext cx="7407275" cy="503472"/>
    <cdr:sp macro="" textlink="">
      <cdr:nvSpPr>
        <cdr:cNvPr id="6" name="FootonotesShape">
          <a:extLst xmlns:a="http://schemas.openxmlformats.org/drawingml/2006/main">
            <a:ext uri="{FF2B5EF4-FFF2-40B4-BE49-F238E27FC236}">
              <a16:creationId xmlns:a16="http://schemas.microsoft.com/office/drawing/2014/main" id="{63452087-D929-51BB-6439-817AEBAA2AA6}"/>
            </a:ext>
          </a:extLst>
        </cdr:cNvPr>
        <cdr:cNvSpPr txBox="1"/>
      </cdr:nvSpPr>
      <cdr:spPr>
        <a:xfrm xmlns:a="http://schemas.openxmlformats.org/drawingml/2006/main">
          <a:off x="0" y="6718299"/>
          <a:ext cx="7407275" cy="503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noAutofit/>
        </a:bodyPr>
        <a:lstStyle xmlns:a="http://schemas.openxmlformats.org/drawingml/2006/main"/>
        <a:p xmlns:a="http://schemas.openxmlformats.org/drawingml/2006/main">
          <a:endParaRPr lang="en-GB" sz="1200" i="0">
            <a:latin typeface="Arial" panose="020B0604020202020204" pitchFamily="34" charset="0"/>
          </a:endParaRPr>
        </a:p>
        <a:p xmlns:a="http://schemas.openxmlformats.org/drawingml/2006/main"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env_waseleeos)</a:t>
          </a:r>
        </a:p>
      </cdr:txBody>
    </cdr:sp>
  </cdr:absSizeAnchor>
  <cdr:absSizeAnchor xmlns:cdr="http://schemas.openxmlformats.org/drawingml/2006/chartDrawing">
    <cdr:from>
      <cdr:x>0.84003</cdr:x>
      <cdr:y>0.94508</cdr:y>
    </cdr:from>
    <cdr:ext cx="1207265" cy="397391"/>
    <cdr:pic>
      <cdr:nvPicPr>
        <cdr:cNvPr id="8" name="LogoShape">
          <a:extLst xmlns:a="http://schemas.openxmlformats.org/drawingml/2006/main">
            <a:ext uri="{FF2B5EF4-FFF2-40B4-BE49-F238E27FC236}">
              <a16:creationId xmlns:a16="http://schemas.microsoft.com/office/drawing/2014/main" id="{22DC4155-BDBB-8A69-2CB9-E715FAE5C2D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6366377" y="6838433"/>
          <a:ext cx="1207265" cy="397391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59689</xdr:colOff>
      <xdr:row>3</xdr:row>
      <xdr:rowOff>29847</xdr:rowOff>
    </xdr:from>
    <xdr:to>
      <xdr:col>10</xdr:col>
      <xdr:colOff>507364</xdr:colOff>
      <xdr:row>49</xdr:row>
      <xdr:rowOff>123244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0.76629</cdr:y>
    </cdr:from>
    <cdr:ext cx="7995000" cy="1236749"/>
    <cdr:sp macro="" textlink="">
      <cdr:nvSpPr>
        <cdr:cNvPr id="10" name="FootonotesShape">
          <a:extLst xmlns:a="http://schemas.openxmlformats.org/drawingml/2006/main">
            <a:ext uri="{FF2B5EF4-FFF2-40B4-BE49-F238E27FC236}">
              <a16:creationId xmlns:a16="http://schemas.microsoft.com/office/drawing/2014/main" id="{061571E8-F76E-5916-AF96-AB21F5713B3B}"/>
            </a:ext>
          </a:extLst>
        </cdr:cNvPr>
        <cdr:cNvSpPr txBox="1"/>
      </cdr:nvSpPr>
      <cdr:spPr>
        <a:xfrm xmlns:a="http://schemas.openxmlformats.org/drawingml/2006/main">
          <a:off x="0" y="5779319"/>
          <a:ext cx="7995000" cy="1236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GB" sz="1200">
              <a:latin typeface="Arial" panose="020B0604020202020204" pitchFamily="34" charset="0"/>
            </a:rPr>
            <a:t>Note: Countries are ranked based on data on EEE put on the market in the three preceding years.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>
              <a:latin typeface="Arial" panose="020B0604020202020204" pitchFamily="34" charset="0"/>
            </a:rPr>
            <a:t>(¹) Eurostat estimate. 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(²) Data on WEEE generated is provided on a voluntary basis.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</a:t>
          </a:r>
          <a:r>
            <a:rPr lang="en-GB" sz="1100">
              <a:effectLst/>
              <a:latin typeface="+mn-lt"/>
              <a:ea typeface="+mn-ea"/>
              <a:cs typeface="+mn-cs"/>
            </a:rPr>
            <a:t>³</a:t>
          </a:r>
          <a:r>
            <a:rPr lang="en-GB" sz="1200">
              <a:latin typeface="Arial" panose="020B0604020202020204" pitchFamily="34" charset="0"/>
            </a:rPr>
            <a:t>) 'Put on market' not applicable.</a:t>
          </a:r>
        </a:p>
        <a:p xmlns:a="http://schemas.openxmlformats.org/drawingml/2006/main">
          <a:r>
            <a:rPr lang="en-GB" sz="1200">
              <a:latin typeface="Arial" panose="020B0604020202020204" pitchFamily="34" charset="0"/>
            </a:rPr>
            <a:t>(⁴) No</a:t>
          </a:r>
          <a:r>
            <a:rPr lang="en-GB" sz="1200" baseline="0">
              <a:latin typeface="Arial" panose="020B0604020202020204" pitchFamily="34" charset="0"/>
            </a:rPr>
            <a:t> data available for Sweden and Romania</a:t>
          </a:r>
          <a:endParaRPr lang="en-GB" sz="1200">
            <a:latin typeface="Arial" panose="020B0604020202020204" pitchFamily="34" charset="0"/>
          </a:endParaRP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Source:</a:t>
          </a:r>
          <a:r>
            <a:rPr lang="en-GB" sz="1200">
              <a:latin typeface="Arial" panose="020B0604020202020204" pitchFamily="34" charset="0"/>
            </a:rPr>
            <a:t> Eurostat (online data code: env_waseleeos)</a:t>
          </a:r>
        </a:p>
      </cdr:txBody>
    </cdr:sp>
  </cdr:absSizeAnchor>
  <cdr:absSizeAnchor xmlns:cdr="http://schemas.openxmlformats.org/drawingml/2006/chartDrawing">
    <cdr:from>
      <cdr:x>0.83948</cdr:x>
      <cdr:y>0.93332</cdr:y>
    </cdr:from>
    <cdr:ext cx="1527790" cy="502897"/>
    <cdr:pic>
      <cdr:nvPicPr>
        <cdr:cNvPr id="12" name="LogoShape">
          <a:extLst xmlns:a="http://schemas.openxmlformats.org/drawingml/2006/main">
            <a:ext uri="{FF2B5EF4-FFF2-40B4-BE49-F238E27FC236}">
              <a16:creationId xmlns:a16="http://schemas.microsoft.com/office/drawing/2014/main" id="{0AE0A7E4-9F52-BB32-6AD4-F75D80038F0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7996057" y="7039050"/>
          <a:ext cx="1527790" cy="502897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381000</xdr:colOff>
      <xdr:row>36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243B1-3112-4B5A-9E21-DDBB7ECA1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0.84647</cdr:y>
    </cdr:from>
    <cdr:ext cx="7995000" cy="661912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46F6A24C-D781-7DD4-6FA9-AA09B518B8B0}"/>
            </a:ext>
          </a:extLst>
        </cdr:cNvPr>
        <cdr:cNvSpPr txBox="1"/>
      </cdr:nvSpPr>
      <cdr:spPr>
        <a:xfrm xmlns:a="http://schemas.openxmlformats.org/drawingml/2006/main">
          <a:off x="0" y="4837580"/>
          <a:ext cx="7995000" cy="661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(¹) no data available for Sweden and Romania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GB" sz="1200" i="1">
              <a:latin typeface="Arial" panose="020B0604020202020204" pitchFamily="34" charset="0"/>
            </a:rPr>
            <a:t>EU: Eurostat estimates</a:t>
          </a:r>
        </a:p>
        <a:p xmlns:a="http://schemas.openxmlformats.org/drawingml/2006/main">
          <a:r>
            <a:rPr lang="en-GB" sz="1200" i="1">
              <a:latin typeface="Arial" panose="020B0604020202020204" pitchFamily="34" charset="0"/>
            </a:rPr>
            <a:t>Source: Eurostat (online data code: env_waseleeos)</a:t>
          </a:r>
        </a:p>
      </cdr:txBody>
    </cdr:sp>
  </cdr:absSizeAnchor>
  <cdr:absSizeAnchor xmlns:cdr="http://schemas.openxmlformats.org/drawingml/2006/chartDrawing">
    <cdr:from>
      <cdr:x>0.83948</cdr:x>
      <cdr:y>0.92764</cdr:y>
    </cdr:from>
    <cdr:ext cx="1527832" cy="502911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A23ABC31-D10D-70D2-E480-07324B0A0B2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7996036" y="6447208"/>
          <a:ext cx="1527832" cy="502911"/>
        </a:xfrm>
        <a:prstGeom xmlns:a="http://schemas.openxmlformats.org/drawingml/2006/main" prst="rect">
          <a:avLst/>
        </a:prstGeom>
      </cdr:spPr>
    </cdr:pic>
  </cdr:abs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ympe.local\IK\Users\g.mehlhart\AppData\Local\Microsoft\Windows\Temporary%20Internet%20Files\Content.Outlook\288HJSK9\Validation%20WEEE%202016_11_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track changes"/>
      <sheetName val="data for pivot"/>
      <sheetName val="Tabelle1 to load"/>
      <sheetName val="Vergleich der Rechenmethoden"/>
      <sheetName val="Vergleich der Rechenmethoden 2"/>
      <sheetName val="nochmal Verlgeich der Rechneme"/>
      <sheetName val="prop to change flag p from 2012"/>
      <sheetName val="flags_hide_2015_09"/>
      <sheetName val="Specific comments of MS to cell"/>
      <sheetName val="General commets of MS for submi"/>
      <sheetName val="Clarificat Requests"/>
      <sheetName val="comments to cells re yr 2014"/>
      <sheetName val="Validation Tab 1"/>
      <sheetName val="share not treated nationally"/>
      <sheetName val="Collection Target; DG.ENV"/>
      <sheetName val="Berechnung der Einwohner"/>
      <sheetName val="RECYC Target (1)"/>
      <sheetName val="RECYC Tar (2); DG.ENV"/>
      <sheetName val="figures for detaild rec rates"/>
      <sheetName val="Recycling &gt; 95%"/>
      <sheetName val="RECOV Target (1)"/>
      <sheetName val="RECOV Tar (2); DG.ENV"/>
      <sheetName val="RECOV &gt; 99%"/>
      <sheetName val="Time serie by GEO; WST_OPER"/>
      <sheetName val="Composition by TIME; WST_OPER "/>
      <sheetName val="Composition by TIME; GEO"/>
      <sheetName val="code and label list"/>
      <sheetName val="auto sum empty cell for t"/>
      <sheetName val="auto sum empty cell %"/>
      <sheetName val="WEEE recy rate (1)"/>
      <sheetName val="estimates EL"/>
      <sheetName val="estimates ES"/>
      <sheetName val="estimates FI"/>
      <sheetName val="estimates NL"/>
      <sheetName val="estimates UK"/>
      <sheetName val="WEEE eff recy rate flat file"/>
      <sheetName val="submited to EVI 2016 03 21"/>
      <sheetName val="WEEE recy rate graph"/>
      <sheetName val="as published 2015 11 04"/>
      <sheetName val="Tabel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view/env_waseleeos__custom_18660281/default/tabl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view/env_waseleeos__custom_18659880/default/tabl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view/env_waseleeos__custom_18660215/default/tabl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c.europa.eu/eurostat/databrowser/view/env_waseleeos__custom_18660156/default/table" TargetMode="External"/><Relationship Id="rId1" Type="http://schemas.openxmlformats.org/officeDocument/2006/relationships/hyperlink" Target="https://ec.europa.eu/eurostat/databrowser/bookmark/6ef6e267-7915-4279-a658-f15da3b7d54e?lang=en&amp;createdAt=2025-10-02T09:48:32Z" TargetMode="External"/><Relationship Id="rId4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8">
    <pageSetUpPr fitToPage="1"/>
  </sheetPr>
  <dimension ref="A1:R63"/>
  <sheetViews>
    <sheetView showGridLines="0" tabSelected="1" zoomScaleNormal="100" workbookViewId="0"/>
  </sheetViews>
  <sheetFormatPr defaultColWidth="11.42578125" defaultRowHeight="12.75" x14ac:dyDescent="0.2"/>
  <cols>
    <col min="1" max="1" width="22.140625" style="2" customWidth="1"/>
    <col min="2" max="2" width="16" style="4" customWidth="1"/>
    <col min="3" max="5" width="11.42578125" style="9" customWidth="1"/>
    <col min="6" max="9" width="12.140625" style="4" bestFit="1" customWidth="1"/>
    <col min="10" max="10" width="13.140625" style="4" customWidth="1"/>
    <col min="11" max="11" width="13.85546875" style="4" bestFit="1" customWidth="1"/>
    <col min="12" max="16384" width="11.42578125" style="4"/>
  </cols>
  <sheetData>
    <row r="1" spans="1:13" x14ac:dyDescent="0.2">
      <c r="B1" s="3"/>
      <c r="C1" s="3"/>
      <c r="D1" s="3"/>
      <c r="E1" s="3"/>
      <c r="F1" s="3"/>
      <c r="G1" s="3"/>
    </row>
    <row r="2" spans="1:13" ht="30.75" customHeight="1" x14ac:dyDescent="0.25">
      <c r="A2" s="103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5"/>
      <c r="M2" s="5"/>
    </row>
    <row r="3" spans="1:13" ht="14.25" x14ac:dyDescent="0.2">
      <c r="A3" s="104" t="s">
        <v>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31" spans="1:5" x14ac:dyDescent="0.2">
      <c r="A31" s="6"/>
      <c r="B31" s="7"/>
      <c r="C31" s="8"/>
      <c r="D31" s="8"/>
      <c r="E31" s="8"/>
    </row>
    <row r="35" spans="1:18" ht="15.95" customHeight="1" x14ac:dyDescent="0.2"/>
    <row r="41" spans="1:18" ht="15" customHeight="1" x14ac:dyDescent="0.2">
      <c r="A41" s="107" t="s">
        <v>2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"/>
    </row>
    <row r="42" spans="1:18" x14ac:dyDescent="0.2">
      <c r="A42" s="108" t="s">
        <v>3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93"/>
    </row>
    <row r="43" spans="1:18" x14ac:dyDescent="0.2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</row>
    <row r="44" spans="1:18" x14ac:dyDescent="0.2">
      <c r="A44" s="100" t="s">
        <v>127</v>
      </c>
    </row>
    <row r="45" spans="1:18" ht="15" x14ac:dyDescent="0.25">
      <c r="A45" s="99" t="s">
        <v>5</v>
      </c>
      <c r="B45" s="101" t="s">
        <v>6</v>
      </c>
      <c r="C45" s="4"/>
    </row>
    <row r="46" spans="1:18" ht="15" x14ac:dyDescent="0.25">
      <c r="A46" s="99" t="s">
        <v>128</v>
      </c>
      <c r="B46" s="101" t="s">
        <v>129</v>
      </c>
      <c r="C46" s="101"/>
    </row>
    <row r="47" spans="1:18" x14ac:dyDescent="0.2">
      <c r="H47" s="10"/>
    </row>
    <row r="48" spans="1:18" ht="22.5" customHeight="1" x14ac:dyDescent="0.2">
      <c r="A48" s="40"/>
      <c r="B48" s="40">
        <v>2012</v>
      </c>
      <c r="C48" s="40">
        <v>2013</v>
      </c>
      <c r="D48" s="40">
        <v>2014</v>
      </c>
      <c r="E48" s="40">
        <v>2015</v>
      </c>
      <c r="F48" s="40">
        <v>2016</v>
      </c>
      <c r="G48" s="40">
        <v>2017</v>
      </c>
      <c r="H48" s="40">
        <v>2018</v>
      </c>
      <c r="I48" s="40">
        <v>2019</v>
      </c>
      <c r="J48" s="40">
        <v>2020</v>
      </c>
      <c r="K48" s="40">
        <v>2021</v>
      </c>
      <c r="L48" s="40">
        <v>2022</v>
      </c>
      <c r="M48" s="40">
        <v>2023</v>
      </c>
      <c r="O48" s="105" t="s">
        <v>7</v>
      </c>
      <c r="P48" s="106"/>
      <c r="Q48" s="105" t="s">
        <v>8</v>
      </c>
      <c r="R48" s="106"/>
    </row>
    <row r="49" spans="1:18" ht="22.5" customHeight="1" x14ac:dyDescent="0.2">
      <c r="A49" s="41" t="s">
        <v>9</v>
      </c>
      <c r="B49" s="42">
        <v>7627.455402999999</v>
      </c>
      <c r="C49" s="12">
        <v>7283.3110379999998</v>
      </c>
      <c r="D49" s="12">
        <v>7549.0020729999997</v>
      </c>
      <c r="E49" s="12">
        <v>8037.8119999999999</v>
      </c>
      <c r="F49" s="12">
        <v>8512.1090000000004</v>
      </c>
      <c r="G49" s="12">
        <v>9074.6869999999999</v>
      </c>
      <c r="H49" s="12">
        <v>10287.611999999999</v>
      </c>
      <c r="I49" s="12">
        <v>11214.00274</v>
      </c>
      <c r="J49" s="12">
        <v>12402.57185</v>
      </c>
      <c r="K49" s="12">
        <v>13735.967688327999</v>
      </c>
      <c r="L49" s="94">
        <v>14435.717325180001</v>
      </c>
      <c r="M49" s="94">
        <v>14446.861072983997</v>
      </c>
      <c r="O49" s="12">
        <f>M49-B49</f>
        <v>6819.4056699839975</v>
      </c>
      <c r="P49" s="76">
        <f>O49/B49</f>
        <v>0.89406037920612647</v>
      </c>
      <c r="Q49" s="12">
        <f>M49-L49</f>
        <v>11.143747803995211</v>
      </c>
      <c r="R49" s="76">
        <f>Q49/J49</f>
        <v>8.9850298299180668E-4</v>
      </c>
    </row>
    <row r="50" spans="1:18" ht="22.5" customHeight="1" x14ac:dyDescent="0.2">
      <c r="A50" s="11" t="s">
        <v>10</v>
      </c>
      <c r="B50" s="12">
        <v>2970.7055379999997</v>
      </c>
      <c r="C50" s="12">
        <v>3031.7872889999994</v>
      </c>
      <c r="D50" s="12">
        <v>2962.5173830000003</v>
      </c>
      <c r="E50" s="12">
        <v>3225.1030000000001</v>
      </c>
      <c r="F50" s="12">
        <v>3578.020379</v>
      </c>
      <c r="G50" s="12">
        <v>3759.1179999999999</v>
      </c>
      <c r="H50" s="12">
        <v>3993.6869999999999</v>
      </c>
      <c r="I50" s="12">
        <v>4516.1760899999999</v>
      </c>
      <c r="J50" s="12">
        <v>4718.6375099999996</v>
      </c>
      <c r="K50" s="12">
        <v>5057.9781541989996</v>
      </c>
      <c r="L50" s="94">
        <v>4988.1415110309999</v>
      </c>
      <c r="M50" s="94">
        <v>5206.3633477740004</v>
      </c>
      <c r="O50" s="12">
        <f>M50-B50</f>
        <v>2235.6578097740007</v>
      </c>
      <c r="P50" s="76">
        <f>O50/B50</f>
        <v>0.75256796110432977</v>
      </c>
      <c r="Q50" s="12">
        <f>M50-L50</f>
        <v>218.22183674300049</v>
      </c>
      <c r="R50" s="76">
        <f>Q50/J50</f>
        <v>4.6246789731258786E-2</v>
      </c>
    </row>
    <row r="51" spans="1:18" ht="22.5" customHeight="1" x14ac:dyDescent="0.2">
      <c r="A51" s="11" t="s">
        <v>11</v>
      </c>
      <c r="B51" s="12">
        <v>3108.4050000000002</v>
      </c>
      <c r="C51" s="12">
        <v>3189.0143839999996</v>
      </c>
      <c r="D51" s="12">
        <v>2918.2640000000001</v>
      </c>
      <c r="E51" s="12">
        <v>3147.7440000000001</v>
      </c>
      <c r="F51" s="12">
        <v>3555.53</v>
      </c>
      <c r="G51" s="12">
        <v>3748.538</v>
      </c>
      <c r="H51" s="12">
        <v>3926.1129999999998</v>
      </c>
      <c r="I51" s="12">
        <v>4435.15038</v>
      </c>
      <c r="J51" s="12">
        <v>4662.8585999999996</v>
      </c>
      <c r="K51" s="12">
        <v>4959.4998202040006</v>
      </c>
      <c r="L51" s="94">
        <v>4874.8849133790009</v>
      </c>
      <c r="M51" s="94">
        <v>5158.6051965760007</v>
      </c>
      <c r="O51" s="12">
        <f>M51-B51</f>
        <v>2050.2001965760005</v>
      </c>
      <c r="P51" s="76">
        <f>O51/B51</f>
        <v>0.65956662551244138</v>
      </c>
      <c r="Q51" s="12">
        <f t="shared" ref="Q51:Q52" si="0">M51-L51</f>
        <v>283.72028319699984</v>
      </c>
      <c r="R51" s="76">
        <f>Q51/J51</f>
        <v>6.0846855445498574E-2</v>
      </c>
    </row>
    <row r="52" spans="1:18" ht="25.15" customHeight="1" x14ac:dyDescent="0.2">
      <c r="A52" s="11" t="s">
        <v>126</v>
      </c>
      <c r="B52" s="12">
        <v>2599.3310000000001</v>
      </c>
      <c r="C52" s="12">
        <v>2717.9814749999996</v>
      </c>
      <c r="D52" s="12">
        <v>2643.4769999999999</v>
      </c>
      <c r="E52" s="12">
        <v>2840.9180000000001</v>
      </c>
      <c r="F52" s="12">
        <v>3272.348</v>
      </c>
      <c r="G52" s="12">
        <v>3431.3180000000002</v>
      </c>
      <c r="H52" s="12">
        <v>3583.5659999999998</v>
      </c>
      <c r="I52" s="12">
        <v>4019.15562</v>
      </c>
      <c r="J52" s="12">
        <v>4313.9167699999998</v>
      </c>
      <c r="K52" s="12">
        <v>4557.7208535419995</v>
      </c>
      <c r="L52" s="94">
        <v>4474.2704247689999</v>
      </c>
      <c r="M52" s="94">
        <v>4756.4927899319991</v>
      </c>
      <c r="O52" s="12">
        <f>M52-B52</f>
        <v>2157.161789931999</v>
      </c>
      <c r="P52" s="76">
        <f>O52/B52</f>
        <v>0.82989114888869442</v>
      </c>
      <c r="Q52" s="12">
        <f t="shared" si="0"/>
        <v>282.22236516299927</v>
      </c>
      <c r="R52" s="76">
        <f>Q52/J52</f>
        <v>6.5421374636998222E-2</v>
      </c>
    </row>
    <row r="53" spans="1:18" ht="22.5" customHeight="1" x14ac:dyDescent="0.2">
      <c r="A53" s="13" t="s">
        <v>12</v>
      </c>
      <c r="B53" s="14">
        <v>2417.4639999999999</v>
      </c>
      <c r="C53" s="14">
        <v>2508.3467749999995</v>
      </c>
      <c r="D53" s="14">
        <v>2426.1559999999999</v>
      </c>
      <c r="E53" s="14">
        <v>2605.54</v>
      </c>
      <c r="F53" s="14">
        <v>3012.1930000000002</v>
      </c>
      <c r="G53" s="14">
        <v>3157.808</v>
      </c>
      <c r="H53" s="14">
        <v>3261.98</v>
      </c>
      <c r="I53" s="14">
        <v>3672.8446600000002</v>
      </c>
      <c r="J53" s="14">
        <v>3924.9160000000002</v>
      </c>
      <c r="K53" s="14">
        <v>4129.5065700799996</v>
      </c>
      <c r="L53" s="95">
        <v>4026.3795172560003</v>
      </c>
      <c r="M53" s="95">
        <v>4281.1052872390001</v>
      </c>
      <c r="O53" s="14">
        <f>M53-B53</f>
        <v>1863.6412872390001</v>
      </c>
      <c r="P53" s="77">
        <f>O53/B53</f>
        <v>0.77090756563034657</v>
      </c>
      <c r="Q53" s="14">
        <f>M53-L53</f>
        <v>254.72576998299974</v>
      </c>
      <c r="R53" s="77">
        <f>Q53/J53</f>
        <v>6.4899674281691563E-2</v>
      </c>
    </row>
    <row r="54" spans="1:18" x14ac:dyDescent="0.2">
      <c r="A54" s="4"/>
      <c r="C54" s="4"/>
      <c r="D54" s="4"/>
      <c r="E54" s="4"/>
    </row>
    <row r="55" spans="1:18" x14ac:dyDescent="0.2">
      <c r="A55" s="4"/>
      <c r="C55" s="4"/>
      <c r="D55" s="4"/>
      <c r="E55" s="4"/>
    </row>
    <row r="56" spans="1:18" x14ac:dyDescent="0.2">
      <c r="A56" s="4"/>
      <c r="C56" s="4"/>
      <c r="D56" s="4"/>
      <c r="E56" s="4"/>
    </row>
    <row r="57" spans="1:18" x14ac:dyDescent="0.2">
      <c r="A57" s="4"/>
      <c r="C57" s="4"/>
      <c r="D57" s="4"/>
      <c r="E57" s="4"/>
    </row>
    <row r="58" spans="1:18" x14ac:dyDescent="0.2">
      <c r="A58" s="5" t="s">
        <v>13</v>
      </c>
      <c r="C58" s="4"/>
      <c r="D58" s="4"/>
      <c r="E58" s="4"/>
    </row>
    <row r="59" spans="1:18" x14ac:dyDescent="0.2">
      <c r="A59" s="4" t="s">
        <v>14</v>
      </c>
      <c r="C59" s="4"/>
      <c r="D59" s="4"/>
      <c r="E59" s="15"/>
      <c r="F59" s="15"/>
      <c r="G59" s="15"/>
      <c r="H59" s="15"/>
      <c r="I59" s="15"/>
      <c r="J59" s="15"/>
      <c r="K59" s="15"/>
    </row>
    <row r="60" spans="1:18" x14ac:dyDescent="0.2">
      <c r="A60" s="4"/>
      <c r="C60" s="4"/>
      <c r="D60" s="4"/>
      <c r="E60" s="15"/>
      <c r="F60" s="15"/>
      <c r="G60" s="15"/>
      <c r="H60" s="15"/>
      <c r="I60" s="15"/>
      <c r="J60" s="15"/>
      <c r="K60" s="15"/>
    </row>
    <row r="61" spans="1:18" x14ac:dyDescent="0.2">
      <c r="A61" s="4"/>
      <c r="C61" s="4"/>
      <c r="D61" s="4"/>
      <c r="E61" s="15"/>
      <c r="F61" s="15"/>
      <c r="G61" s="15"/>
      <c r="H61" s="15"/>
      <c r="I61" s="15"/>
      <c r="J61" s="15"/>
      <c r="K61" s="15"/>
    </row>
    <row r="62" spans="1:18" x14ac:dyDescent="0.2">
      <c r="A62" s="4"/>
      <c r="C62" s="4"/>
      <c r="D62" s="4"/>
      <c r="E62" s="15"/>
      <c r="F62" s="15"/>
      <c r="G62" s="15"/>
      <c r="H62" s="15"/>
      <c r="I62" s="15"/>
      <c r="J62" s="15"/>
      <c r="K62" s="15"/>
    </row>
    <row r="63" spans="1:18" x14ac:dyDescent="0.2">
      <c r="A63" s="4"/>
      <c r="C63" s="4"/>
      <c r="D63" s="4"/>
      <c r="E63" s="15"/>
      <c r="F63" s="15"/>
      <c r="G63" s="15"/>
      <c r="H63" s="15"/>
      <c r="I63" s="15"/>
      <c r="J63" s="15"/>
      <c r="K63" s="15"/>
    </row>
  </sheetData>
  <mergeCells count="6">
    <mergeCell ref="A2:K2"/>
    <mergeCell ref="A3:K3"/>
    <mergeCell ref="O48:P48"/>
    <mergeCell ref="Q48:R48"/>
    <mergeCell ref="A41:L41"/>
    <mergeCell ref="A42:L42"/>
  </mergeCells>
  <phoneticPr fontId="0" type="noConversion"/>
  <hyperlinks>
    <hyperlink ref="B45" r:id="rId1" xr:uid="{267C2438-C531-416B-B88E-D151BC0B8FDD}"/>
  </hyperlinks>
  <printOptions gridLines="1"/>
  <pageMargins left="0.78740157480314965" right="0.78740157480314965" top="0.98425196850393704" bottom="0.98425196850393704" header="0.51181102362204722" footer="0.51181102362204722"/>
  <pageSetup paperSize="9" scale="72" orientation="landscape" r:id="rId2"/>
  <headerFooter alignWithMargins="0">
    <oddHeader>&amp;C&amp;F; &amp;A</oddHeader>
    <oddFooter>&amp;R&amp;D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2:M87"/>
  <sheetViews>
    <sheetView showGridLines="0" zoomScaleNormal="100" workbookViewId="0"/>
  </sheetViews>
  <sheetFormatPr defaultColWidth="11.42578125" defaultRowHeight="12.75" x14ac:dyDescent="0.2"/>
  <cols>
    <col min="1" max="1" width="18" style="4" customWidth="1"/>
    <col min="2" max="2" width="19" style="4" customWidth="1"/>
    <col min="3" max="6" width="11.42578125" style="4"/>
    <col min="7" max="10" width="11.28515625" style="4" customWidth="1"/>
    <col min="11" max="11" width="12" style="4" bestFit="1" customWidth="1"/>
    <col min="12" max="13" width="11.42578125" style="4"/>
    <col min="14" max="14" width="12.42578125" style="4" bestFit="1" customWidth="1"/>
    <col min="15" max="16" width="11.42578125" style="4"/>
    <col min="17" max="17" width="13.42578125" style="4" bestFit="1" customWidth="1"/>
    <col min="18" max="16384" width="11.42578125" style="4"/>
  </cols>
  <sheetData>
    <row r="2" spans="1:13" ht="15.75" x14ac:dyDescent="0.25">
      <c r="A2" s="109" t="s">
        <v>15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3" ht="14.25" x14ac:dyDescent="0.2">
      <c r="A3" s="104" t="s">
        <v>16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M3" s="16"/>
    </row>
    <row r="6" spans="1:13" x14ac:dyDescent="0.2">
      <c r="B6" s="48"/>
    </row>
    <row r="7" spans="1:13" x14ac:dyDescent="0.2">
      <c r="B7" s="48"/>
    </row>
    <row r="8" spans="1:13" x14ac:dyDescent="0.2">
      <c r="B8" s="48"/>
    </row>
    <row r="9" spans="1:13" x14ac:dyDescent="0.2">
      <c r="B9" s="48"/>
    </row>
    <row r="10" spans="1:13" x14ac:dyDescent="0.2">
      <c r="B10" s="48"/>
    </row>
    <row r="11" spans="1:13" x14ac:dyDescent="0.2">
      <c r="B11" s="48"/>
    </row>
    <row r="12" spans="1:13" x14ac:dyDescent="0.2">
      <c r="B12" s="48"/>
    </row>
    <row r="13" spans="1:13" x14ac:dyDescent="0.2">
      <c r="B13" s="48"/>
    </row>
    <row r="14" spans="1:13" x14ac:dyDescent="0.2">
      <c r="B14" s="48"/>
    </row>
    <row r="15" spans="1:13" x14ac:dyDescent="0.2">
      <c r="B15" s="48"/>
    </row>
    <row r="16" spans="1:13" x14ac:dyDescent="0.2">
      <c r="B16" s="48"/>
    </row>
    <row r="17" spans="2:2" x14ac:dyDescent="0.2">
      <c r="B17" s="48"/>
    </row>
    <row r="18" spans="2:2" x14ac:dyDescent="0.2">
      <c r="B18" s="48"/>
    </row>
    <row r="19" spans="2:2" x14ac:dyDescent="0.2">
      <c r="B19" s="48"/>
    </row>
    <row r="20" spans="2:2" x14ac:dyDescent="0.2">
      <c r="B20" s="48"/>
    </row>
    <row r="21" spans="2:2" x14ac:dyDescent="0.2">
      <c r="B21" s="48"/>
    </row>
    <row r="22" spans="2:2" x14ac:dyDescent="0.2">
      <c r="B22" s="48"/>
    </row>
    <row r="23" spans="2:2" x14ac:dyDescent="0.2">
      <c r="B23" s="48"/>
    </row>
    <row r="24" spans="2:2" x14ac:dyDescent="0.2">
      <c r="B24" s="48"/>
    </row>
    <row r="25" spans="2:2" x14ac:dyDescent="0.2">
      <c r="B25" s="48"/>
    </row>
    <row r="26" spans="2:2" x14ac:dyDescent="0.2">
      <c r="B26" s="48"/>
    </row>
    <row r="27" spans="2:2" x14ac:dyDescent="0.2">
      <c r="B27" s="48"/>
    </row>
    <row r="28" spans="2:2" x14ac:dyDescent="0.2">
      <c r="B28" s="48"/>
    </row>
    <row r="29" spans="2:2" x14ac:dyDescent="0.2">
      <c r="B29" s="48"/>
    </row>
    <row r="30" spans="2:2" x14ac:dyDescent="0.2">
      <c r="B30" s="48"/>
    </row>
    <row r="31" spans="2:2" x14ac:dyDescent="0.2">
      <c r="B31" s="48"/>
    </row>
    <row r="32" spans="2:2" x14ac:dyDescent="0.2">
      <c r="B32" s="48"/>
    </row>
    <row r="33" spans="2:2" x14ac:dyDescent="0.2">
      <c r="B33" s="48"/>
    </row>
    <row r="34" spans="2:2" x14ac:dyDescent="0.2">
      <c r="B34" s="48"/>
    </row>
    <row r="35" spans="2:2" x14ac:dyDescent="0.2">
      <c r="B35" s="48"/>
    </row>
    <row r="36" spans="2:2" x14ac:dyDescent="0.2">
      <c r="B36" s="48"/>
    </row>
    <row r="37" spans="2:2" x14ac:dyDescent="0.2">
      <c r="B37" s="48"/>
    </row>
    <row r="38" spans="2:2" x14ac:dyDescent="0.2">
      <c r="B38" s="48"/>
    </row>
    <row r="39" spans="2:2" x14ac:dyDescent="0.2">
      <c r="B39" s="48"/>
    </row>
    <row r="40" spans="2:2" x14ac:dyDescent="0.2">
      <c r="B40" s="49"/>
    </row>
    <row r="41" spans="2:2" x14ac:dyDescent="0.2">
      <c r="B41" s="48"/>
    </row>
    <row r="42" spans="2:2" x14ac:dyDescent="0.2">
      <c r="B42" s="48"/>
    </row>
    <row r="43" spans="2:2" x14ac:dyDescent="0.2">
      <c r="B43" s="48"/>
    </row>
    <row r="44" spans="2:2" x14ac:dyDescent="0.2">
      <c r="B44" s="48"/>
    </row>
    <row r="45" spans="2:2" x14ac:dyDescent="0.2">
      <c r="B45" s="48"/>
    </row>
    <row r="47" spans="2:2" ht="14.45" customHeight="1" x14ac:dyDescent="0.2"/>
    <row r="48" spans="2:2" ht="14.45" customHeight="1" x14ac:dyDescent="0.2"/>
    <row r="49" spans="1:12" ht="14.45" customHeight="1" x14ac:dyDescent="0.2">
      <c r="B49" s="48"/>
    </row>
    <row r="50" spans="1:12" ht="15.75" customHeight="1" x14ac:dyDescent="0.2">
      <c r="A50" s="111" t="s">
        <v>17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</row>
    <row r="51" spans="1:12" s="18" customFormat="1" ht="12.75" customHeight="1" x14ac:dyDescent="0.2">
      <c r="A51" s="112" t="s">
        <v>18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43"/>
    </row>
    <row r="52" spans="1:12" s="18" customFormat="1" ht="12.75" customHeight="1" x14ac:dyDescent="0.2">
      <c r="A52" s="113" t="s">
        <v>19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43"/>
    </row>
    <row r="53" spans="1:12" s="18" customFormat="1" ht="12.75" customHeight="1" x14ac:dyDescent="0.2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43"/>
    </row>
    <row r="54" spans="1:12" ht="15.75" customHeight="1" x14ac:dyDescent="0.2">
      <c r="A54" s="110" t="s">
        <v>20</v>
      </c>
      <c r="B54" s="111"/>
      <c r="C54" s="111"/>
      <c r="D54" s="111"/>
      <c r="E54" s="111"/>
      <c r="F54" s="111"/>
      <c r="G54" s="111"/>
      <c r="H54" s="111"/>
      <c r="I54" s="111"/>
      <c r="J54" s="111"/>
      <c r="K54" s="111"/>
    </row>
    <row r="55" spans="1:12" ht="15.75" customHeight="1" x14ac:dyDescent="0.2">
      <c r="A55" s="102"/>
    </row>
    <row r="56" spans="1:12" x14ac:dyDescent="0.2">
      <c r="A56" s="100" t="s">
        <v>127</v>
      </c>
    </row>
    <row r="57" spans="1:12" ht="15" x14ac:dyDescent="0.25">
      <c r="A57" s="99" t="s">
        <v>5</v>
      </c>
      <c r="B57" s="101" t="s">
        <v>21</v>
      </c>
      <c r="C57" s="101"/>
    </row>
    <row r="58" spans="1:12" ht="15" x14ac:dyDescent="0.25">
      <c r="A58" s="99"/>
      <c r="B58" s="101"/>
    </row>
    <row r="59" spans="1:12" ht="65.25" customHeight="1" x14ac:dyDescent="0.2">
      <c r="A59" s="19"/>
      <c r="B59" s="20" t="s">
        <v>22</v>
      </c>
      <c r="C59" s="21" t="s">
        <v>23</v>
      </c>
      <c r="D59" s="20" t="s">
        <v>24</v>
      </c>
    </row>
    <row r="60" spans="1:12" x14ac:dyDescent="0.2">
      <c r="A60" s="50" t="s">
        <v>25</v>
      </c>
      <c r="B60" s="51">
        <v>37.470166723141396</v>
      </c>
      <c r="C60" s="53">
        <v>45</v>
      </c>
      <c r="D60" s="52">
        <v>65</v>
      </c>
      <c r="E60" s="4" t="s">
        <v>26</v>
      </c>
    </row>
    <row r="61" spans="1:12" x14ac:dyDescent="0.2">
      <c r="A61" s="35"/>
      <c r="B61" s="47"/>
      <c r="C61" s="36">
        <v>45</v>
      </c>
      <c r="D61" s="37">
        <v>65</v>
      </c>
    </row>
    <row r="62" spans="1:12" x14ac:dyDescent="0.2">
      <c r="A62" s="28" t="s">
        <v>27</v>
      </c>
      <c r="B62" s="98">
        <v>100.663528</v>
      </c>
      <c r="C62" s="24">
        <v>45</v>
      </c>
      <c r="D62" s="25">
        <v>65</v>
      </c>
    </row>
    <row r="63" spans="1:12" x14ac:dyDescent="0.2">
      <c r="A63" s="28" t="s">
        <v>28</v>
      </c>
      <c r="B63" s="98">
        <v>67.296600999999995</v>
      </c>
      <c r="C63" s="26">
        <v>45</v>
      </c>
      <c r="D63" s="27">
        <v>65</v>
      </c>
      <c r="E63" s="4" t="s">
        <v>26</v>
      </c>
    </row>
    <row r="64" spans="1:12" x14ac:dyDescent="0.2">
      <c r="A64" s="28" t="s">
        <v>29</v>
      </c>
      <c r="B64" s="98">
        <v>65.106798999999995</v>
      </c>
      <c r="C64" s="26">
        <v>45</v>
      </c>
      <c r="D64" s="27">
        <v>65</v>
      </c>
    </row>
    <row r="65" spans="1:5" x14ac:dyDescent="0.2">
      <c r="A65" s="28" t="s">
        <v>30</v>
      </c>
      <c r="B65" s="98">
        <v>61.722704999999998</v>
      </c>
      <c r="C65" s="26">
        <v>45</v>
      </c>
      <c r="D65" s="27">
        <v>65</v>
      </c>
    </row>
    <row r="66" spans="1:5" x14ac:dyDescent="0.2">
      <c r="A66" s="28" t="s">
        <v>31</v>
      </c>
      <c r="B66" s="98">
        <v>50.038271999999999</v>
      </c>
      <c r="C66" s="26">
        <v>45</v>
      </c>
      <c r="D66" s="27">
        <v>65</v>
      </c>
    </row>
    <row r="67" spans="1:5" x14ac:dyDescent="0.2">
      <c r="A67" s="28" t="s">
        <v>32</v>
      </c>
      <c r="B67" s="98">
        <v>49.318866999999997</v>
      </c>
      <c r="C67" s="26">
        <v>45</v>
      </c>
      <c r="D67" s="27">
        <v>65</v>
      </c>
    </row>
    <row r="68" spans="1:5" x14ac:dyDescent="0.2">
      <c r="A68" s="28" t="s">
        <v>33</v>
      </c>
      <c r="B68" s="98">
        <v>48.5</v>
      </c>
      <c r="C68" s="26">
        <v>45</v>
      </c>
      <c r="D68" s="27">
        <v>65</v>
      </c>
    </row>
    <row r="69" spans="1:5" x14ac:dyDescent="0.2">
      <c r="A69" s="28" t="s">
        <v>34</v>
      </c>
      <c r="B69" s="98">
        <v>45.860816999999997</v>
      </c>
      <c r="C69" s="26">
        <v>45</v>
      </c>
      <c r="D69" s="27">
        <v>65</v>
      </c>
    </row>
    <row r="70" spans="1:5" x14ac:dyDescent="0.2">
      <c r="A70" s="28" t="s">
        <v>35</v>
      </c>
      <c r="B70" s="98">
        <v>45.217740999999997</v>
      </c>
      <c r="C70" s="26">
        <v>45</v>
      </c>
      <c r="D70" s="27">
        <v>65</v>
      </c>
    </row>
    <row r="71" spans="1:5" x14ac:dyDescent="0.2">
      <c r="A71" s="28" t="s">
        <v>36</v>
      </c>
      <c r="B71" s="98">
        <v>44.224079000000003</v>
      </c>
      <c r="C71" s="26">
        <v>45</v>
      </c>
      <c r="D71" s="27">
        <v>65</v>
      </c>
    </row>
    <row r="72" spans="1:5" x14ac:dyDescent="0.2">
      <c r="A72" s="28" t="s">
        <v>37</v>
      </c>
      <c r="B72" s="98">
        <v>43.885047</v>
      </c>
      <c r="C72" s="26">
        <v>45</v>
      </c>
      <c r="D72" s="27">
        <v>65</v>
      </c>
    </row>
    <row r="73" spans="1:5" x14ac:dyDescent="0.2">
      <c r="A73" s="28" t="s">
        <v>38</v>
      </c>
      <c r="B73" s="98">
        <v>43.640332999999998</v>
      </c>
      <c r="C73" s="26">
        <v>45</v>
      </c>
      <c r="D73" s="27">
        <v>65</v>
      </c>
    </row>
    <row r="74" spans="1:5" x14ac:dyDescent="0.2">
      <c r="A74" s="28" t="s">
        <v>39</v>
      </c>
      <c r="B74" s="98">
        <v>40.267470000000003</v>
      </c>
      <c r="C74" s="26">
        <v>45</v>
      </c>
      <c r="D74" s="27">
        <v>65</v>
      </c>
    </row>
    <row r="75" spans="1:5" x14ac:dyDescent="0.2">
      <c r="A75" s="28" t="s">
        <v>40</v>
      </c>
      <c r="B75" s="98">
        <v>38.949482000000003</v>
      </c>
      <c r="C75" s="26">
        <v>45</v>
      </c>
      <c r="D75" s="27">
        <v>65</v>
      </c>
    </row>
    <row r="76" spans="1:5" x14ac:dyDescent="0.2">
      <c r="A76" s="28" t="s">
        <v>41</v>
      </c>
      <c r="B76" s="98">
        <v>30.881858999999999</v>
      </c>
      <c r="C76" s="26">
        <v>45</v>
      </c>
      <c r="D76" s="27">
        <v>65</v>
      </c>
    </row>
    <row r="77" spans="1:5" x14ac:dyDescent="0.2">
      <c r="A77" s="28" t="s">
        <v>125</v>
      </c>
      <c r="B77" s="98">
        <v>29.521922</v>
      </c>
      <c r="C77" s="31">
        <v>45</v>
      </c>
      <c r="D77" s="32">
        <v>65</v>
      </c>
    </row>
    <row r="78" spans="1:5" x14ac:dyDescent="0.2">
      <c r="A78" s="28" t="s">
        <v>42</v>
      </c>
      <c r="B78" s="98">
        <v>29.171447000000001</v>
      </c>
      <c r="C78" s="26">
        <v>45</v>
      </c>
      <c r="D78" s="27">
        <v>65</v>
      </c>
    </row>
    <row r="79" spans="1:5" x14ac:dyDescent="0.2">
      <c r="A79" s="28" t="s">
        <v>43</v>
      </c>
      <c r="B79" s="98">
        <v>28.612131000000002</v>
      </c>
      <c r="C79" s="26">
        <v>45</v>
      </c>
      <c r="D79" s="27">
        <v>65</v>
      </c>
      <c r="E79" s="33"/>
    </row>
    <row r="80" spans="1:5" x14ac:dyDescent="0.2">
      <c r="A80" s="28" t="s">
        <v>44</v>
      </c>
      <c r="B80" s="98">
        <v>28.308344999999999</v>
      </c>
      <c r="C80" s="26">
        <v>45</v>
      </c>
      <c r="D80" s="27">
        <v>65</v>
      </c>
    </row>
    <row r="81" spans="1:5" x14ac:dyDescent="0.2">
      <c r="A81" s="28" t="s">
        <v>45</v>
      </c>
      <c r="B81" s="98">
        <v>28.226077</v>
      </c>
      <c r="C81" s="26">
        <v>45</v>
      </c>
      <c r="D81" s="27">
        <v>65</v>
      </c>
    </row>
    <row r="82" spans="1:5" x14ac:dyDescent="0.2">
      <c r="A82" s="28" t="s">
        <v>46</v>
      </c>
      <c r="B82" s="98">
        <v>24.127891000000002</v>
      </c>
      <c r="C82" s="26">
        <v>45</v>
      </c>
      <c r="D82" s="27">
        <v>65</v>
      </c>
    </row>
    <row r="83" spans="1:5" x14ac:dyDescent="0.2">
      <c r="A83" s="35"/>
      <c r="B83" s="35"/>
      <c r="C83" s="36">
        <v>45</v>
      </c>
      <c r="D83" s="37">
        <v>65</v>
      </c>
      <c r="E83" s="33"/>
    </row>
    <row r="84" spans="1:5" x14ac:dyDescent="0.2">
      <c r="A84" s="84" t="s">
        <v>47</v>
      </c>
      <c r="B84" s="85">
        <v>47.784421000000002</v>
      </c>
      <c r="C84" s="86">
        <v>45</v>
      </c>
      <c r="D84" s="87">
        <v>65</v>
      </c>
      <c r="E84" s="34"/>
    </row>
    <row r="85" spans="1:5" x14ac:dyDescent="0.2">
      <c r="A85" s="34"/>
      <c r="B85" s="34"/>
      <c r="C85" s="34"/>
      <c r="D85" s="34"/>
      <c r="E85" s="34"/>
    </row>
    <row r="86" spans="1:5" x14ac:dyDescent="0.2">
      <c r="A86" s="34"/>
      <c r="B86" s="34"/>
      <c r="C86" s="34"/>
      <c r="D86" s="34"/>
      <c r="E86" s="34"/>
    </row>
    <row r="87" spans="1:5" x14ac:dyDescent="0.2">
      <c r="A87" s="5"/>
      <c r="E87" s="34"/>
    </row>
  </sheetData>
  <sortState xmlns:xlrd2="http://schemas.microsoft.com/office/spreadsheetml/2017/richdata2" ref="A62:D82">
    <sortCondition descending="1" ref="B62:B82"/>
  </sortState>
  <mergeCells count="6">
    <mergeCell ref="A2:K2"/>
    <mergeCell ref="A3:K3"/>
    <mergeCell ref="A54:K54"/>
    <mergeCell ref="A50:K50"/>
    <mergeCell ref="A51:K51"/>
    <mergeCell ref="A52:K52"/>
  </mergeCells>
  <hyperlinks>
    <hyperlink ref="B57" r:id="rId1" xr:uid="{EB83D225-04C3-4475-9DFD-B85E2ADA1270}"/>
  </hyperlinks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r:id="rId2"/>
  <headerFooter alignWithMargins="0">
    <oddHeader>&amp;C&amp;F; &amp;A</oddHeader>
    <oddFooter>&amp;R&amp;D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61"/>
  <sheetViews>
    <sheetView showGridLines="0" zoomScaleNormal="100" workbookViewId="0"/>
  </sheetViews>
  <sheetFormatPr defaultColWidth="11.42578125" defaultRowHeight="12.75" x14ac:dyDescent="0.2"/>
  <cols>
    <col min="1" max="1" width="18" style="4" customWidth="1"/>
    <col min="2" max="3" width="19.28515625" style="4" customWidth="1"/>
    <col min="4" max="6" width="11.42578125" style="4"/>
    <col min="7" max="7" width="11.28515625" style="4" customWidth="1"/>
    <col min="8" max="13" width="11.42578125" style="4"/>
    <col min="14" max="14" width="13.42578125" style="4" bestFit="1" customWidth="1"/>
    <col min="15" max="16384" width="11.42578125" style="4"/>
  </cols>
  <sheetData>
    <row r="2" spans="1:10" ht="30.75" customHeight="1" x14ac:dyDescent="0.25">
      <c r="A2" s="103" t="s">
        <v>48</v>
      </c>
      <c r="B2" s="103"/>
      <c r="C2" s="103"/>
      <c r="D2" s="103"/>
      <c r="E2" s="103"/>
      <c r="F2" s="103"/>
    </row>
    <row r="3" spans="1:10" ht="16.5" customHeight="1" x14ac:dyDescent="0.2">
      <c r="A3" s="114" t="s">
        <v>49</v>
      </c>
      <c r="B3" s="114"/>
      <c r="C3" s="114"/>
      <c r="D3" s="114"/>
      <c r="E3" s="114"/>
      <c r="F3" s="114"/>
      <c r="J3" s="16"/>
    </row>
    <row r="6" spans="1:10" x14ac:dyDescent="0.2">
      <c r="B6" s="48"/>
    </row>
    <row r="7" spans="1:10" x14ac:dyDescent="0.2">
      <c r="B7" s="48"/>
    </row>
    <row r="8" spans="1:10" x14ac:dyDescent="0.2">
      <c r="B8" s="48"/>
    </row>
    <row r="9" spans="1:10" x14ac:dyDescent="0.2">
      <c r="B9" s="48"/>
    </row>
    <row r="10" spans="1:10" x14ac:dyDescent="0.2">
      <c r="B10" s="48"/>
    </row>
    <row r="11" spans="1:10" x14ac:dyDescent="0.2">
      <c r="B11" s="48"/>
    </row>
    <row r="12" spans="1:10" x14ac:dyDescent="0.2">
      <c r="B12" s="48"/>
    </row>
    <row r="13" spans="1:10" x14ac:dyDescent="0.2">
      <c r="B13" s="48"/>
    </row>
    <row r="14" spans="1:10" x14ac:dyDescent="0.2">
      <c r="B14" s="48"/>
    </row>
    <row r="15" spans="1:10" x14ac:dyDescent="0.2">
      <c r="B15" s="48"/>
    </row>
    <row r="16" spans="1:10" x14ac:dyDescent="0.2">
      <c r="B16" s="48"/>
    </row>
    <row r="17" spans="2:2" x14ac:dyDescent="0.2">
      <c r="B17" s="48"/>
    </row>
    <row r="18" spans="2:2" x14ac:dyDescent="0.2">
      <c r="B18" s="48"/>
    </row>
    <row r="19" spans="2:2" x14ac:dyDescent="0.2">
      <c r="B19" s="48"/>
    </row>
    <row r="20" spans="2:2" x14ac:dyDescent="0.2">
      <c r="B20" s="48"/>
    </row>
    <row r="21" spans="2:2" x14ac:dyDescent="0.2">
      <c r="B21" s="48"/>
    </row>
    <row r="22" spans="2:2" x14ac:dyDescent="0.2">
      <c r="B22" s="48"/>
    </row>
    <row r="23" spans="2:2" x14ac:dyDescent="0.2">
      <c r="B23" s="48"/>
    </row>
    <row r="24" spans="2:2" x14ac:dyDescent="0.2">
      <c r="B24" s="48"/>
    </row>
    <row r="25" spans="2:2" x14ac:dyDescent="0.2">
      <c r="B25" s="48"/>
    </row>
    <row r="26" spans="2:2" x14ac:dyDescent="0.2">
      <c r="B26" s="48"/>
    </row>
    <row r="27" spans="2:2" x14ac:dyDescent="0.2">
      <c r="B27" s="48"/>
    </row>
    <row r="28" spans="2:2" x14ac:dyDescent="0.2">
      <c r="B28" s="48"/>
    </row>
    <row r="29" spans="2:2" x14ac:dyDescent="0.2">
      <c r="B29" s="48"/>
    </row>
    <row r="30" spans="2:2" x14ac:dyDescent="0.2">
      <c r="B30" s="48"/>
    </row>
    <row r="31" spans="2:2" x14ac:dyDescent="0.2">
      <c r="B31" s="48"/>
    </row>
    <row r="32" spans="2:2" x14ac:dyDescent="0.2">
      <c r="B32" s="48"/>
    </row>
    <row r="33" spans="2:2" x14ac:dyDescent="0.2">
      <c r="B33" s="48"/>
    </row>
    <row r="34" spans="2:2" x14ac:dyDescent="0.2">
      <c r="B34" s="48"/>
    </row>
    <row r="35" spans="2:2" x14ac:dyDescent="0.2">
      <c r="B35" s="48"/>
    </row>
    <row r="36" spans="2:2" x14ac:dyDescent="0.2">
      <c r="B36" s="48"/>
    </row>
    <row r="37" spans="2:2" x14ac:dyDescent="0.2">
      <c r="B37" s="48"/>
    </row>
    <row r="38" spans="2:2" x14ac:dyDescent="0.2">
      <c r="B38" s="48"/>
    </row>
    <row r="39" spans="2:2" x14ac:dyDescent="0.2">
      <c r="B39" s="48"/>
    </row>
    <row r="40" spans="2:2" x14ac:dyDescent="0.2">
      <c r="B40" s="49"/>
    </row>
    <row r="41" spans="2:2" x14ac:dyDescent="0.2">
      <c r="B41" s="48"/>
    </row>
    <row r="42" spans="2:2" x14ac:dyDescent="0.2">
      <c r="B42" s="48"/>
    </row>
    <row r="43" spans="2:2" x14ac:dyDescent="0.2">
      <c r="B43" s="48"/>
    </row>
    <row r="44" spans="2:2" x14ac:dyDescent="0.2">
      <c r="B44" s="48"/>
    </row>
    <row r="45" spans="2:2" x14ac:dyDescent="0.2">
      <c r="B45" s="48"/>
    </row>
    <row r="46" spans="2:2" x14ac:dyDescent="0.2">
      <c r="B46" s="48"/>
    </row>
    <row r="47" spans="2:2" x14ac:dyDescent="0.2">
      <c r="B47" s="48"/>
    </row>
    <row r="48" spans="2:2" ht="11.45" customHeight="1" x14ac:dyDescent="0.2">
      <c r="B48" s="17"/>
    </row>
    <row r="49" spans="1:8" ht="15.75" customHeight="1" x14ac:dyDescent="0.2"/>
    <row r="50" spans="1:8" ht="15.75" customHeight="1" x14ac:dyDescent="0.2"/>
    <row r="51" spans="1:8" ht="15.75" customHeight="1" x14ac:dyDescent="0.2"/>
    <row r="52" spans="1:8" x14ac:dyDescent="0.2">
      <c r="A52" s="111" t="s">
        <v>50</v>
      </c>
      <c r="B52" s="111"/>
      <c r="C52" s="111"/>
      <c r="D52" s="111"/>
      <c r="E52" s="111"/>
      <c r="F52" s="111"/>
      <c r="G52" s="111"/>
      <c r="H52" s="111"/>
    </row>
    <row r="54" spans="1:8" x14ac:dyDescent="0.2">
      <c r="A54" s="100" t="s">
        <v>4</v>
      </c>
    </row>
    <row r="55" spans="1:8" ht="15" x14ac:dyDescent="0.25">
      <c r="A55" s="99" t="s">
        <v>5</v>
      </c>
      <c r="B55" s="101" t="s">
        <v>51</v>
      </c>
      <c r="C55" s="101"/>
    </row>
    <row r="56" spans="1:8" ht="15" x14ac:dyDescent="0.25">
      <c r="A56" s="99"/>
      <c r="B56" s="101"/>
    </row>
    <row r="57" spans="1:8" ht="63.75" x14ac:dyDescent="0.2">
      <c r="A57" s="45"/>
      <c r="B57" s="46" t="s">
        <v>52</v>
      </c>
      <c r="C57" s="54" t="s">
        <v>53</v>
      </c>
    </row>
    <row r="58" spans="1:8" x14ac:dyDescent="0.2">
      <c r="A58" s="22" t="s">
        <v>54</v>
      </c>
      <c r="B58" s="23">
        <v>104.52819021558966</v>
      </c>
      <c r="C58" s="55">
        <v>85</v>
      </c>
    </row>
    <row r="59" spans="1:8" x14ac:dyDescent="0.2">
      <c r="A59" s="28" t="s">
        <v>55</v>
      </c>
      <c r="B59" s="29">
        <v>61.224398050721454</v>
      </c>
      <c r="C59" s="56">
        <v>85</v>
      </c>
    </row>
    <row r="60" spans="1:8" x14ac:dyDescent="0.2">
      <c r="A60" s="28" t="s">
        <v>56</v>
      </c>
      <c r="B60" s="29">
        <v>59.397618154743526</v>
      </c>
      <c r="C60" s="56">
        <v>85</v>
      </c>
    </row>
    <row r="61" spans="1:8" x14ac:dyDescent="0.2">
      <c r="A61" s="82" t="s">
        <v>57</v>
      </c>
      <c r="B61" s="88">
        <v>51.427892698876562</v>
      </c>
      <c r="C61" s="89">
        <v>85</v>
      </c>
    </row>
  </sheetData>
  <sortState xmlns:xlrd2="http://schemas.microsoft.com/office/spreadsheetml/2017/richdata2" ref="A58:B61">
    <sortCondition descending="1" ref="B58:B61"/>
  </sortState>
  <mergeCells count="3">
    <mergeCell ref="A2:F2"/>
    <mergeCell ref="A3:F3"/>
    <mergeCell ref="A52:H52"/>
  </mergeCells>
  <hyperlinks>
    <hyperlink ref="B55" r:id="rId1" xr:uid="{AD95D1EE-A5D1-4097-A415-0CC5D82D4C01}"/>
  </hyperlinks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r:id="rId2"/>
  <headerFooter alignWithMargins="0">
    <oddHeader>&amp;C&amp;F; &amp;A</oddHeader>
    <oddFooter>&amp;R&amp;D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2:P105"/>
  <sheetViews>
    <sheetView showGridLines="0" zoomScaleNormal="100" workbookViewId="0"/>
  </sheetViews>
  <sheetFormatPr defaultColWidth="11.42578125" defaultRowHeight="12.75" x14ac:dyDescent="0.2"/>
  <cols>
    <col min="1" max="1" width="17" style="4" customWidth="1"/>
    <col min="2" max="4" width="14.28515625" style="4" customWidth="1"/>
    <col min="5" max="5" width="11.42578125" style="4"/>
    <col min="6" max="6" width="19.140625" style="4" customWidth="1"/>
    <col min="7" max="7" width="11.42578125" style="4"/>
    <col min="8" max="8" width="12.42578125" style="4" bestFit="1" customWidth="1"/>
    <col min="9" max="16384" width="11.42578125" style="4"/>
  </cols>
  <sheetData>
    <row r="2" spans="1:12" ht="15.75" x14ac:dyDescent="0.2">
      <c r="A2" s="116" t="s">
        <v>58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2" ht="14.25" x14ac:dyDescent="0.2">
      <c r="A3" s="114" t="s">
        <v>59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33" spans="2:8" x14ac:dyDescent="0.2">
      <c r="B33" s="16"/>
      <c r="C33" s="16"/>
      <c r="D33" s="16"/>
      <c r="E33" s="16"/>
      <c r="F33" s="16"/>
      <c r="G33" s="16"/>
      <c r="H33" s="16"/>
    </row>
    <row r="52" spans="1:16" ht="15.75" customHeight="1" x14ac:dyDescent="0.2">
      <c r="A52" s="107" t="s">
        <v>60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</row>
    <row r="53" spans="1:16" ht="15.75" customHeight="1" x14ac:dyDescent="0.2">
      <c r="A53" s="4" t="s">
        <v>17</v>
      </c>
    </row>
    <row r="54" spans="1:16" x14ac:dyDescent="0.2">
      <c r="A54" s="1" t="s">
        <v>61</v>
      </c>
    </row>
    <row r="55" spans="1:16" x14ac:dyDescent="0.2">
      <c r="A55" s="78" t="s">
        <v>62</v>
      </c>
    </row>
    <row r="56" spans="1:16" ht="12.75" customHeight="1" x14ac:dyDescent="0.2">
      <c r="A56" s="4" t="s">
        <v>63</v>
      </c>
    </row>
    <row r="57" spans="1:16" ht="12.75" customHeight="1" x14ac:dyDescent="0.2">
      <c r="A57" s="78" t="s">
        <v>64</v>
      </c>
    </row>
    <row r="58" spans="1:16" ht="12.75" customHeight="1" x14ac:dyDescent="0.2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</row>
    <row r="59" spans="1:16" ht="15.75" customHeight="1" x14ac:dyDescent="0.2">
      <c r="A59" s="108" t="s">
        <v>20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</row>
    <row r="60" spans="1:16" ht="15.75" customHeight="1" x14ac:dyDescent="0.2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</row>
    <row r="61" spans="1:16" x14ac:dyDescent="0.2">
      <c r="A61" s="100" t="s">
        <v>127</v>
      </c>
    </row>
    <row r="62" spans="1:16" ht="15" x14ac:dyDescent="0.25">
      <c r="A62" s="99" t="s">
        <v>5</v>
      </c>
      <c r="B62" s="101" t="s">
        <v>65</v>
      </c>
      <c r="F62" s="79"/>
    </row>
    <row r="63" spans="1:16" ht="15" x14ac:dyDescent="0.25">
      <c r="A63" s="99"/>
      <c r="B63" s="101"/>
      <c r="F63" s="79"/>
    </row>
    <row r="64" spans="1:16" ht="63.75" x14ac:dyDescent="0.2">
      <c r="A64" s="19"/>
      <c r="B64" s="57" t="s">
        <v>66</v>
      </c>
      <c r="C64" s="20" t="s">
        <v>67</v>
      </c>
      <c r="D64" s="21" t="s">
        <v>68</v>
      </c>
      <c r="F64" s="79"/>
      <c r="K64" s="79"/>
      <c r="L64" s="79"/>
      <c r="M64" s="79"/>
      <c r="N64" s="79"/>
      <c r="O64" s="79"/>
      <c r="P64" s="79"/>
    </row>
    <row r="65" spans="1:16" x14ac:dyDescent="0.2">
      <c r="A65" s="44" t="s">
        <v>69</v>
      </c>
      <c r="B65" s="58">
        <v>30.210125822390165</v>
      </c>
      <c r="C65" s="59"/>
      <c r="D65" s="60">
        <v>11.629254911345406</v>
      </c>
      <c r="E65" s="80"/>
      <c r="F65" s="79"/>
      <c r="K65" s="79"/>
      <c r="L65" s="79"/>
      <c r="M65" s="79"/>
      <c r="N65" s="79"/>
      <c r="O65" s="79"/>
      <c r="P65" s="79"/>
    </row>
    <row r="66" spans="1:16" x14ac:dyDescent="0.2">
      <c r="A66" s="35"/>
      <c r="B66" s="61"/>
      <c r="C66" s="62"/>
      <c r="D66" s="63"/>
      <c r="E66" s="80"/>
      <c r="F66" s="79"/>
      <c r="K66" s="79"/>
      <c r="L66" s="79"/>
      <c r="M66" s="79"/>
      <c r="N66" s="79"/>
      <c r="O66" s="79"/>
      <c r="P66" s="79"/>
    </row>
    <row r="67" spans="1:16" x14ac:dyDescent="0.2">
      <c r="A67" s="22" t="s">
        <v>70</v>
      </c>
      <c r="B67" s="64">
        <v>43.225800238347539</v>
      </c>
      <c r="C67" s="65">
        <v>21.215669170799998</v>
      </c>
      <c r="D67" s="66">
        <v>12.275805217245185</v>
      </c>
      <c r="E67" s="80"/>
      <c r="F67" s="79"/>
      <c r="K67" s="79"/>
      <c r="L67" s="79"/>
      <c r="M67" s="79"/>
      <c r="N67" s="79"/>
      <c r="O67" s="79"/>
      <c r="P67" s="79"/>
    </row>
    <row r="68" spans="1:16" x14ac:dyDescent="0.2">
      <c r="A68" s="22" t="s">
        <v>71</v>
      </c>
      <c r="B68" s="67">
        <v>41.158903011063735</v>
      </c>
      <c r="C68" s="68">
        <v>25.264585001499999</v>
      </c>
      <c r="D68" s="69">
        <v>15.006562989289554</v>
      </c>
      <c r="E68" s="80"/>
      <c r="F68" s="79"/>
      <c r="K68" s="79"/>
      <c r="L68" s="79"/>
      <c r="M68" s="79"/>
      <c r="N68" s="79"/>
      <c r="O68" s="79"/>
      <c r="P68" s="79"/>
    </row>
    <row r="69" spans="1:16" x14ac:dyDescent="0.2">
      <c r="A69" s="28" t="s">
        <v>72</v>
      </c>
      <c r="B69" s="67">
        <v>36.852146915955977</v>
      </c>
      <c r="C69" s="70"/>
      <c r="D69" s="69">
        <v>10.87946053894693</v>
      </c>
      <c r="E69" s="80"/>
      <c r="F69" s="79"/>
      <c r="K69" s="79"/>
      <c r="L69" s="79"/>
      <c r="M69" s="79"/>
      <c r="N69" s="79"/>
      <c r="O69" s="79"/>
      <c r="P69" s="79"/>
    </row>
    <row r="70" spans="1:16" x14ac:dyDescent="0.2">
      <c r="A70" s="28" t="s">
        <v>73</v>
      </c>
      <c r="B70" s="67">
        <v>34.046544326454146</v>
      </c>
      <c r="C70" s="68"/>
      <c r="D70" s="69">
        <v>15.222615198210573</v>
      </c>
      <c r="E70" s="80"/>
      <c r="F70" s="79"/>
      <c r="K70" s="79"/>
      <c r="L70" s="79"/>
      <c r="M70" s="79"/>
      <c r="N70" s="79"/>
      <c r="O70" s="79"/>
      <c r="P70" s="79"/>
    </row>
    <row r="71" spans="1:16" x14ac:dyDescent="0.2">
      <c r="A71" s="28" t="s">
        <v>74</v>
      </c>
      <c r="B71" s="67">
        <v>33.120227303364594</v>
      </c>
      <c r="C71" s="68"/>
      <c r="D71" s="69">
        <v>15.872200334634254</v>
      </c>
      <c r="E71" s="80"/>
      <c r="F71" s="79"/>
      <c r="K71" s="79"/>
      <c r="L71" s="79"/>
      <c r="M71" s="79"/>
      <c r="N71" s="79"/>
      <c r="O71" s="79"/>
      <c r="P71" s="79"/>
    </row>
    <row r="72" spans="1:16" x14ac:dyDescent="0.2">
      <c r="A72" s="28" t="s">
        <v>54</v>
      </c>
      <c r="B72" s="67">
        <v>31.331456196907965</v>
      </c>
      <c r="C72" s="68">
        <v>14.553543832900001</v>
      </c>
      <c r="D72" s="69">
        <v>15.212555980803522</v>
      </c>
      <c r="E72" s="80"/>
      <c r="F72" s="79"/>
      <c r="K72" s="79"/>
      <c r="L72" s="79"/>
      <c r="M72" s="79"/>
      <c r="N72" s="79"/>
      <c r="O72" s="79"/>
      <c r="P72" s="79"/>
    </row>
    <row r="73" spans="1:16" x14ac:dyDescent="0.2">
      <c r="A73" s="28" t="s">
        <v>75</v>
      </c>
      <c r="B73" s="67">
        <v>29.634391100785262</v>
      </c>
      <c r="C73" s="68"/>
      <c r="D73" s="69">
        <v>8.6447808384431255</v>
      </c>
      <c r="E73" s="80"/>
      <c r="F73" s="79"/>
      <c r="K73" s="79"/>
      <c r="L73" s="79"/>
      <c r="M73" s="79"/>
      <c r="N73" s="79"/>
      <c r="O73" s="79"/>
      <c r="P73" s="79"/>
    </row>
    <row r="74" spans="1:16" x14ac:dyDescent="0.2">
      <c r="A74" s="28" t="s">
        <v>76</v>
      </c>
      <c r="B74" s="67">
        <v>28.856601480270864</v>
      </c>
      <c r="C74" s="68">
        <v>21.667429871300001</v>
      </c>
      <c r="D74" s="69">
        <v>13.234613986022877</v>
      </c>
      <c r="E74" s="80"/>
      <c r="F74" s="79"/>
      <c r="K74" s="79"/>
      <c r="L74" s="79"/>
      <c r="M74" s="79"/>
      <c r="N74" s="79"/>
      <c r="O74" s="79"/>
      <c r="P74" s="79"/>
    </row>
    <row r="75" spans="1:16" x14ac:dyDescent="0.2">
      <c r="A75" s="28" t="s">
        <v>77</v>
      </c>
      <c r="B75" s="67">
        <v>28.696427434104255</v>
      </c>
      <c r="C75" s="70"/>
      <c r="D75" s="69">
        <v>14.359196553193028</v>
      </c>
      <c r="E75" s="80"/>
      <c r="F75" s="79"/>
      <c r="K75" s="79"/>
      <c r="L75" s="79"/>
      <c r="M75" s="79"/>
      <c r="N75" s="79"/>
      <c r="O75" s="79"/>
      <c r="P75" s="79"/>
    </row>
    <row r="76" spans="1:16" x14ac:dyDescent="0.2">
      <c r="A76" s="28" t="s">
        <v>78</v>
      </c>
      <c r="B76" s="67">
        <v>28.490639594073741</v>
      </c>
      <c r="C76" s="68">
        <v>15.8758891873</v>
      </c>
      <c r="D76" s="69">
        <v>8.1646356818266277</v>
      </c>
      <c r="E76" s="80"/>
      <c r="F76" s="79"/>
      <c r="K76" s="79"/>
      <c r="L76" s="79"/>
      <c r="M76" s="79"/>
      <c r="N76" s="79"/>
      <c r="O76" s="79"/>
      <c r="P76" s="79"/>
    </row>
    <row r="77" spans="1:16" x14ac:dyDescent="0.2">
      <c r="A77" s="28" t="s">
        <v>79</v>
      </c>
      <c r="B77" s="67">
        <v>27.621152919047802</v>
      </c>
      <c r="C77" s="68"/>
      <c r="D77" s="69">
        <v>12.039108070016631</v>
      </c>
      <c r="E77" s="80"/>
      <c r="F77" s="79"/>
      <c r="K77" s="79"/>
      <c r="L77" s="79"/>
      <c r="M77" s="79"/>
      <c r="N77" s="79"/>
      <c r="O77" s="79"/>
      <c r="P77" s="79"/>
    </row>
    <row r="78" spans="1:16" x14ac:dyDescent="0.2">
      <c r="A78" s="28" t="s">
        <v>80</v>
      </c>
      <c r="B78" s="67">
        <v>27.203722181240952</v>
      </c>
      <c r="C78" s="68"/>
      <c r="D78" s="69">
        <v>16.790873047066643</v>
      </c>
      <c r="E78" s="80"/>
      <c r="F78" s="79"/>
      <c r="K78" s="79"/>
      <c r="L78" s="79"/>
      <c r="M78" s="79"/>
      <c r="N78" s="79"/>
      <c r="O78" s="79"/>
      <c r="P78" s="79"/>
    </row>
    <row r="79" spans="1:16" x14ac:dyDescent="0.2">
      <c r="A79" s="28" t="s">
        <v>81</v>
      </c>
      <c r="B79" s="67">
        <v>25.403652807177181</v>
      </c>
      <c r="C79" s="68"/>
      <c r="D79" s="69">
        <v>7.8451237360941191</v>
      </c>
      <c r="E79" s="80"/>
      <c r="F79" s="79"/>
      <c r="K79" s="79"/>
      <c r="L79" s="79"/>
      <c r="M79" s="79"/>
      <c r="N79" s="79"/>
      <c r="O79" s="79"/>
      <c r="P79" s="79"/>
    </row>
    <row r="80" spans="1:16" x14ac:dyDescent="0.2">
      <c r="A80" s="28" t="s">
        <v>82</v>
      </c>
      <c r="B80" s="67">
        <v>23.634082337829113</v>
      </c>
      <c r="C80" s="70">
        <v>13.508128959900001</v>
      </c>
      <c r="D80" s="69">
        <v>9.1204380401018614</v>
      </c>
      <c r="E80" s="80"/>
      <c r="F80" s="79"/>
      <c r="K80" s="79"/>
      <c r="L80" s="79"/>
      <c r="M80" s="79"/>
      <c r="N80" s="79"/>
      <c r="O80" s="79"/>
      <c r="P80" s="79"/>
    </row>
    <row r="81" spans="1:16" x14ac:dyDescent="0.2">
      <c r="A81" s="28" t="s">
        <v>83</v>
      </c>
      <c r="B81" s="67">
        <v>23.019709400371649</v>
      </c>
      <c r="C81" s="68">
        <v>16.6353821252</v>
      </c>
      <c r="D81" s="69">
        <v>9.2694545360689311</v>
      </c>
      <c r="E81" s="80"/>
      <c r="F81" s="79"/>
      <c r="K81" s="79"/>
      <c r="L81" s="79"/>
      <c r="M81" s="79"/>
      <c r="N81" s="79"/>
      <c r="O81" s="79"/>
      <c r="P81" s="79"/>
    </row>
    <row r="82" spans="1:16" x14ac:dyDescent="0.2">
      <c r="A82" s="28" t="s">
        <v>84</v>
      </c>
      <c r="B82" s="67">
        <v>21.101682957522552</v>
      </c>
      <c r="C82" s="68"/>
      <c r="D82" s="69">
        <v>5.7883055141797399</v>
      </c>
      <c r="E82" s="80"/>
      <c r="F82" s="79"/>
      <c r="K82" s="79"/>
      <c r="L82" s="79"/>
      <c r="M82" s="79"/>
      <c r="N82" s="79"/>
      <c r="O82" s="79"/>
      <c r="P82" s="79"/>
    </row>
    <row r="83" spans="1:16" x14ac:dyDescent="0.2">
      <c r="A83" s="28" t="s">
        <v>85</v>
      </c>
      <c r="B83" s="67">
        <v>20.901227448175813</v>
      </c>
      <c r="C83" s="68"/>
      <c r="D83" s="69">
        <v>8.1409198171561616</v>
      </c>
      <c r="E83" s="80"/>
      <c r="F83" s="79"/>
      <c r="K83" s="79"/>
      <c r="L83" s="79"/>
      <c r="M83" s="79"/>
      <c r="N83" s="79"/>
      <c r="O83" s="79"/>
      <c r="P83" s="79"/>
    </row>
    <row r="84" spans="1:16" x14ac:dyDescent="0.2">
      <c r="A84" s="28" t="s">
        <v>86</v>
      </c>
      <c r="B84" s="67">
        <v>20.359350661333306</v>
      </c>
      <c r="C84" s="68"/>
      <c r="D84" s="69">
        <v>5.7466254905046972</v>
      </c>
      <c r="E84" s="80"/>
      <c r="F84" s="79"/>
      <c r="K84" s="79"/>
      <c r="L84" s="79"/>
      <c r="M84" s="79"/>
      <c r="N84" s="79"/>
      <c r="O84" s="79"/>
      <c r="P84" s="79"/>
    </row>
    <row r="85" spans="1:16" x14ac:dyDescent="0.2">
      <c r="A85" s="28" t="s">
        <v>87</v>
      </c>
      <c r="B85" s="67">
        <v>19.939051270489475</v>
      </c>
      <c r="C85" s="68">
        <v>14.3927836097</v>
      </c>
      <c r="D85" s="69">
        <v>8.811901739043666</v>
      </c>
      <c r="E85" s="80"/>
      <c r="F85" s="79"/>
      <c r="K85" s="79"/>
      <c r="L85" s="79"/>
      <c r="M85" s="79"/>
      <c r="N85" s="79"/>
      <c r="O85" s="79"/>
      <c r="P85" s="79"/>
    </row>
    <row r="86" spans="1:16" x14ac:dyDescent="0.2">
      <c r="A86" s="28" t="s">
        <v>88</v>
      </c>
      <c r="B86" s="67">
        <v>18.812647256748608</v>
      </c>
      <c r="C86" s="68"/>
      <c r="D86" s="69">
        <v>8.3086185528301364</v>
      </c>
      <c r="E86" s="80"/>
      <c r="F86" s="79"/>
      <c r="K86" s="79"/>
      <c r="L86" s="79"/>
      <c r="M86" s="79"/>
      <c r="N86" s="79"/>
      <c r="O86" s="79"/>
      <c r="P86" s="79"/>
    </row>
    <row r="87" spans="1:16" x14ac:dyDescent="0.2">
      <c r="A87" s="28" t="s">
        <v>89</v>
      </c>
      <c r="B87" s="67">
        <v>18.585602382540188</v>
      </c>
      <c r="C87" s="68"/>
      <c r="D87" s="69">
        <v>9.1662085572950129</v>
      </c>
      <c r="E87" s="80"/>
      <c r="K87" s="79"/>
      <c r="L87" s="79"/>
      <c r="M87" s="79"/>
      <c r="N87" s="79"/>
      <c r="O87" s="79"/>
      <c r="P87" s="79"/>
    </row>
    <row r="88" spans="1:16" x14ac:dyDescent="0.2">
      <c r="A88" s="28" t="s">
        <v>90</v>
      </c>
      <c r="B88" s="67">
        <v>16.342296511560949</v>
      </c>
      <c r="C88" s="68"/>
      <c r="D88" s="69">
        <v>10.940058021948539</v>
      </c>
      <c r="E88" s="80"/>
      <c r="K88" s="79"/>
      <c r="L88" s="79"/>
      <c r="M88" s="79"/>
      <c r="N88" s="79"/>
      <c r="O88" s="79"/>
      <c r="P88" s="79"/>
    </row>
    <row r="89" spans="1:16" x14ac:dyDescent="0.2">
      <c r="A89" s="28" t="s">
        <v>91</v>
      </c>
      <c r="B89" s="67">
        <v>16.013322716067137</v>
      </c>
      <c r="C89" s="68"/>
      <c r="D89" s="69">
        <v>10.425715799930224</v>
      </c>
      <c r="E89" s="80"/>
      <c r="F89" s="79"/>
      <c r="K89" s="79"/>
      <c r="L89" s="79"/>
      <c r="M89" s="79"/>
      <c r="N89" s="79"/>
      <c r="O89" s="79"/>
      <c r="P89" s="79"/>
    </row>
    <row r="90" spans="1:16" x14ac:dyDescent="0.2">
      <c r="A90" s="30" t="s">
        <v>92</v>
      </c>
      <c r="B90" s="67">
        <v>15.69802693780936</v>
      </c>
      <c r="C90" s="71">
        <v>15.549348717000001</v>
      </c>
      <c r="D90" s="69">
        <v>3.7876028022672492</v>
      </c>
      <c r="E90" s="80"/>
      <c r="F90" s="79"/>
      <c r="K90" s="79"/>
      <c r="L90" s="79"/>
      <c r="M90" s="79"/>
      <c r="N90" s="79"/>
      <c r="O90" s="79"/>
      <c r="P90" s="79"/>
    </row>
    <row r="91" spans="1:16" x14ac:dyDescent="0.2">
      <c r="A91" s="28" t="s">
        <v>93</v>
      </c>
      <c r="B91" s="67">
        <v>15.475547054255225</v>
      </c>
      <c r="C91" s="68"/>
      <c r="D91" s="69">
        <v>17.94086227373813</v>
      </c>
      <c r="E91" s="80"/>
      <c r="F91" s="79"/>
      <c r="K91" s="79"/>
      <c r="L91" s="79"/>
      <c r="M91" s="79"/>
      <c r="N91" s="79"/>
      <c r="O91" s="79"/>
      <c r="P91" s="79"/>
    </row>
    <row r="92" spans="1:16" x14ac:dyDescent="0.2">
      <c r="A92" s="35"/>
      <c r="B92" s="61"/>
      <c r="C92" s="62"/>
      <c r="D92" s="63"/>
      <c r="F92" s="79"/>
      <c r="K92" s="79"/>
      <c r="L92" s="79"/>
      <c r="M92" s="79"/>
      <c r="N92" s="79"/>
      <c r="O92" s="79"/>
      <c r="P92" s="79"/>
    </row>
    <row r="93" spans="1:16" x14ac:dyDescent="0.2">
      <c r="A93" s="22" t="s">
        <v>94</v>
      </c>
      <c r="B93" s="67"/>
      <c r="C93" s="72"/>
      <c r="D93" s="69">
        <v>22.415835968478643</v>
      </c>
      <c r="F93" s="79"/>
      <c r="K93" s="79"/>
      <c r="L93" s="79"/>
      <c r="M93" s="79"/>
      <c r="N93" s="79"/>
      <c r="O93" s="79"/>
      <c r="P93" s="79"/>
    </row>
    <row r="94" spans="1:16" x14ac:dyDescent="0.2">
      <c r="A94" s="38" t="s">
        <v>95</v>
      </c>
      <c r="B94" s="73">
        <v>42.013597421286796</v>
      </c>
      <c r="C94" s="74"/>
      <c r="D94" s="75">
        <v>20.075954228933778</v>
      </c>
      <c r="F94" s="79"/>
      <c r="K94" s="79"/>
      <c r="L94" s="79"/>
      <c r="M94" s="79"/>
      <c r="N94" s="79"/>
      <c r="O94" s="79"/>
      <c r="P94" s="79"/>
    </row>
    <row r="95" spans="1:16" x14ac:dyDescent="0.2">
      <c r="F95" s="79"/>
      <c r="K95" s="79"/>
      <c r="L95" s="79"/>
      <c r="M95" s="79"/>
      <c r="N95" s="79"/>
      <c r="O95" s="79"/>
      <c r="P95" s="79"/>
    </row>
    <row r="96" spans="1:16" x14ac:dyDescent="0.2">
      <c r="A96" s="5"/>
      <c r="F96" s="79"/>
      <c r="G96" s="79"/>
      <c r="H96" s="79"/>
      <c r="I96" s="79"/>
    </row>
    <row r="98" spans="1:1" x14ac:dyDescent="0.2">
      <c r="A98" s="4" t="s">
        <v>96</v>
      </c>
    </row>
    <row r="105" spans="1:1" x14ac:dyDescent="0.2">
      <c r="A105" s="39"/>
    </row>
  </sheetData>
  <sortState xmlns:xlrd2="http://schemas.microsoft.com/office/spreadsheetml/2017/richdata2" ref="A67:D91">
    <sortCondition descending="1" ref="B67:B91"/>
  </sortState>
  <mergeCells count="5">
    <mergeCell ref="A59:L59"/>
    <mergeCell ref="A3:L3"/>
    <mergeCell ref="A58:L58"/>
    <mergeCell ref="A2:L2"/>
    <mergeCell ref="A52:L52"/>
  </mergeCells>
  <conditionalFormatting sqref="A54:A55 A57">
    <cfRule type="containsErrors" dxfId="0" priority="3">
      <formula>ISERROR(A54)</formula>
    </cfRule>
  </conditionalFormatting>
  <hyperlinks>
    <hyperlink ref="A49" r:id="rId1" display="https://ec.europa.eu/eurostat/databrowser/bookmark/6ef6e267-7915-4279-a658-f15da3b7d54e?lang=en&amp;createdAt=2025-10-02T09:48:32Z" xr:uid="{C40D5EC4-DB74-44CA-A4F1-15E315F210B4}"/>
    <hyperlink ref="B62" r:id="rId2" xr:uid="{18F6C043-748B-490C-A7F6-4DD661D3B0D1}"/>
  </hyperlinks>
  <printOptions gridLines="1"/>
  <pageMargins left="0.78740157480314965" right="0.78740157480314965" top="0.98425196850393704" bottom="0.98425196850393704" header="0.51181102362204722" footer="0.51181102362204722"/>
  <pageSetup paperSize="9" scale="71" orientation="landscape" r:id="rId3"/>
  <headerFooter alignWithMargins="0">
    <oddHeader>&amp;C&amp;F; &amp;A</oddHeader>
    <oddFooter>&amp;R&amp;D</oddFooter>
  </headerFooter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7935-5AF5-4EED-9897-67A095068115}">
  <dimension ref="A1:D68"/>
  <sheetViews>
    <sheetView showGridLines="0" zoomScale="85" zoomScaleNormal="85" workbookViewId="0"/>
  </sheetViews>
  <sheetFormatPr defaultColWidth="11.5703125" defaultRowHeight="12.75" x14ac:dyDescent="0.2"/>
  <sheetData>
    <row r="1" spans="1:2" ht="25.5" x14ac:dyDescent="0.2">
      <c r="A1" s="19"/>
      <c r="B1" s="21" t="s">
        <v>68</v>
      </c>
    </row>
    <row r="2" spans="1:2" x14ac:dyDescent="0.2">
      <c r="A2" s="44" t="s">
        <v>97</v>
      </c>
      <c r="B2" s="60">
        <v>11.629254911345406</v>
      </c>
    </row>
    <row r="3" spans="1:2" x14ac:dyDescent="0.2">
      <c r="A3" s="35"/>
      <c r="B3" s="63"/>
    </row>
    <row r="4" spans="1:2" x14ac:dyDescent="0.2">
      <c r="A4" s="22" t="s">
        <v>98</v>
      </c>
      <c r="B4" s="66">
        <v>17.94086227373813</v>
      </c>
    </row>
    <row r="5" spans="1:2" x14ac:dyDescent="0.2">
      <c r="A5" s="22" t="s">
        <v>99</v>
      </c>
      <c r="B5" s="69">
        <v>16.790873047066643</v>
      </c>
    </row>
    <row r="6" spans="1:2" x14ac:dyDescent="0.2">
      <c r="A6" s="28" t="s">
        <v>100</v>
      </c>
      <c r="B6" s="69">
        <v>15.872200334634254</v>
      </c>
    </row>
    <row r="7" spans="1:2" x14ac:dyDescent="0.2">
      <c r="A7" s="28" t="s">
        <v>101</v>
      </c>
      <c r="B7" s="69">
        <v>15.222615198210573</v>
      </c>
    </row>
    <row r="8" spans="1:2" x14ac:dyDescent="0.2">
      <c r="A8" s="28" t="s">
        <v>102</v>
      </c>
      <c r="B8" s="69">
        <v>15.212555980803522</v>
      </c>
    </row>
    <row r="9" spans="1:2" x14ac:dyDescent="0.2">
      <c r="A9" s="28" t="s">
        <v>103</v>
      </c>
      <c r="B9" s="69">
        <v>15.006562989289554</v>
      </c>
    </row>
    <row r="10" spans="1:2" x14ac:dyDescent="0.2">
      <c r="A10" s="28" t="s">
        <v>104</v>
      </c>
      <c r="B10" s="69">
        <v>14.359196553193028</v>
      </c>
    </row>
    <row r="11" spans="1:2" x14ac:dyDescent="0.2">
      <c r="A11" s="28" t="s">
        <v>105</v>
      </c>
      <c r="B11" s="69">
        <v>13.234613986022877</v>
      </c>
    </row>
    <row r="12" spans="1:2" x14ac:dyDescent="0.2">
      <c r="A12" s="28" t="s">
        <v>106</v>
      </c>
      <c r="B12" s="69">
        <v>12.275805217245185</v>
      </c>
    </row>
    <row r="13" spans="1:2" x14ac:dyDescent="0.2">
      <c r="A13" s="28" t="s">
        <v>107</v>
      </c>
      <c r="B13" s="69">
        <v>12.039108070016631</v>
      </c>
    </row>
    <row r="14" spans="1:2" x14ac:dyDescent="0.2">
      <c r="A14" s="28" t="s">
        <v>108</v>
      </c>
      <c r="B14" s="69">
        <v>10.940058021948539</v>
      </c>
    </row>
    <row r="15" spans="1:2" x14ac:dyDescent="0.2">
      <c r="A15" s="28" t="s">
        <v>109</v>
      </c>
      <c r="B15" s="69">
        <v>10.87946053894693</v>
      </c>
    </row>
    <row r="16" spans="1:2" x14ac:dyDescent="0.2">
      <c r="A16" s="28" t="s">
        <v>110</v>
      </c>
      <c r="B16" s="69">
        <v>10.425715799930224</v>
      </c>
    </row>
    <row r="17" spans="1:2" x14ac:dyDescent="0.2">
      <c r="A17" s="28" t="s">
        <v>111</v>
      </c>
      <c r="B17" s="69">
        <v>9.2694545360689311</v>
      </c>
    </row>
    <row r="18" spans="1:2" x14ac:dyDescent="0.2">
      <c r="A18" s="28" t="s">
        <v>112</v>
      </c>
      <c r="B18" s="69">
        <v>9.1662085572950129</v>
      </c>
    </row>
    <row r="19" spans="1:2" x14ac:dyDescent="0.2">
      <c r="A19" s="28" t="s">
        <v>113</v>
      </c>
      <c r="B19" s="69">
        <v>9.1204380401018614</v>
      </c>
    </row>
    <row r="20" spans="1:2" x14ac:dyDescent="0.2">
      <c r="A20" s="28" t="s">
        <v>114</v>
      </c>
      <c r="B20" s="69">
        <v>8.811901739043666</v>
      </c>
    </row>
    <row r="21" spans="1:2" x14ac:dyDescent="0.2">
      <c r="A21" s="28" t="s">
        <v>115</v>
      </c>
      <c r="B21" s="69">
        <v>8.6447808384431255</v>
      </c>
    </row>
    <row r="22" spans="1:2" x14ac:dyDescent="0.2">
      <c r="A22" s="28" t="s">
        <v>116</v>
      </c>
      <c r="B22" s="69">
        <v>8.3086185528301364</v>
      </c>
    </row>
    <row r="23" spans="1:2" x14ac:dyDescent="0.2">
      <c r="A23" s="28" t="s">
        <v>117</v>
      </c>
      <c r="B23" s="69">
        <v>8.1646356818266277</v>
      </c>
    </row>
    <row r="24" spans="1:2" x14ac:dyDescent="0.2">
      <c r="A24" s="28" t="s">
        <v>118</v>
      </c>
      <c r="B24" s="69">
        <v>8.1409198171561616</v>
      </c>
    </row>
    <row r="25" spans="1:2" x14ac:dyDescent="0.2">
      <c r="A25" s="28" t="s">
        <v>119</v>
      </c>
      <c r="B25" s="69">
        <v>7.8451237360941191</v>
      </c>
    </row>
    <row r="26" spans="1:2" x14ac:dyDescent="0.2">
      <c r="A26" s="28" t="s">
        <v>120</v>
      </c>
      <c r="B26" s="69">
        <v>5.7883055141797399</v>
      </c>
    </row>
    <row r="27" spans="1:2" x14ac:dyDescent="0.2">
      <c r="A27" s="30" t="s">
        <v>121</v>
      </c>
      <c r="B27" s="69">
        <v>5.7466254905046972</v>
      </c>
    </row>
    <row r="28" spans="1:2" x14ac:dyDescent="0.2">
      <c r="A28" s="28" t="s">
        <v>122</v>
      </c>
      <c r="B28" s="69">
        <v>3.7876028022672492</v>
      </c>
    </row>
    <row r="29" spans="1:2" x14ac:dyDescent="0.2">
      <c r="A29" s="35"/>
      <c r="B29" s="63"/>
    </row>
    <row r="30" spans="1:2" x14ac:dyDescent="0.2">
      <c r="A30" s="90" t="s">
        <v>123</v>
      </c>
      <c r="B30" s="91">
        <v>22.415835968478643</v>
      </c>
    </row>
    <row r="31" spans="1:2" x14ac:dyDescent="0.2">
      <c r="A31" s="92" t="s">
        <v>124</v>
      </c>
      <c r="B31" s="83">
        <v>20.075954228933778</v>
      </c>
    </row>
    <row r="40" spans="4:4" x14ac:dyDescent="0.2">
      <c r="D40" s="16"/>
    </row>
    <row r="41" spans="4:4" x14ac:dyDescent="0.2">
      <c r="D41" s="28"/>
    </row>
    <row r="42" spans="4:4" x14ac:dyDescent="0.2">
      <c r="D42" s="22"/>
    </row>
    <row r="43" spans="4:4" x14ac:dyDescent="0.2">
      <c r="D43" s="28"/>
    </row>
    <row r="44" spans="4:4" x14ac:dyDescent="0.2">
      <c r="D44" s="28"/>
    </row>
    <row r="45" spans="4:4" x14ac:dyDescent="0.2">
      <c r="D45" s="28"/>
    </row>
    <row r="46" spans="4:4" x14ac:dyDescent="0.2">
      <c r="D46" s="28"/>
    </row>
    <row r="47" spans="4:4" x14ac:dyDescent="0.2">
      <c r="D47" s="28"/>
    </row>
    <row r="48" spans="4:4" x14ac:dyDescent="0.2">
      <c r="D48" s="28"/>
    </row>
    <row r="49" spans="4:4" x14ac:dyDescent="0.2">
      <c r="D49" s="28"/>
    </row>
    <row r="50" spans="4:4" x14ac:dyDescent="0.2">
      <c r="D50" s="28"/>
    </row>
    <row r="51" spans="4:4" x14ac:dyDescent="0.2">
      <c r="D51" s="28"/>
    </row>
    <row r="52" spans="4:4" x14ac:dyDescent="0.2">
      <c r="D52" s="28"/>
    </row>
    <row r="53" spans="4:4" x14ac:dyDescent="0.2">
      <c r="D53" s="28"/>
    </row>
    <row r="54" spans="4:4" x14ac:dyDescent="0.2">
      <c r="D54" s="28"/>
    </row>
    <row r="55" spans="4:4" x14ac:dyDescent="0.2">
      <c r="D55" s="28"/>
    </row>
    <row r="56" spans="4:4" x14ac:dyDescent="0.2">
      <c r="D56" s="28"/>
    </row>
    <row r="57" spans="4:4" x14ac:dyDescent="0.2">
      <c r="D57" s="28"/>
    </row>
    <row r="58" spans="4:4" x14ac:dyDescent="0.2">
      <c r="D58" s="28"/>
    </row>
    <row r="59" spans="4:4" x14ac:dyDescent="0.2">
      <c r="D59" s="28"/>
    </row>
    <row r="60" spans="4:4" x14ac:dyDescent="0.2">
      <c r="D60" s="28"/>
    </row>
    <row r="61" spans="4:4" x14ac:dyDescent="0.2">
      <c r="D61" s="28"/>
    </row>
    <row r="62" spans="4:4" x14ac:dyDescent="0.2">
      <c r="D62" s="28"/>
    </row>
    <row r="63" spans="4:4" x14ac:dyDescent="0.2">
      <c r="D63" s="28"/>
    </row>
    <row r="64" spans="4:4" x14ac:dyDescent="0.2">
      <c r="D64" s="30"/>
    </row>
    <row r="65" spans="4:4" x14ac:dyDescent="0.2">
      <c r="D65" s="28"/>
    </row>
    <row r="66" spans="4:4" x14ac:dyDescent="0.2">
      <c r="D66" s="16"/>
    </row>
    <row r="67" spans="4:4" x14ac:dyDescent="0.2">
      <c r="D67" s="97"/>
    </row>
    <row r="68" spans="4:4" x14ac:dyDescent="0.2">
      <c r="D68" s="96"/>
    </row>
  </sheetData>
  <pageMargins left="0.7" right="0.7" top="0.78740157499999996" bottom="0.78740157499999996" header="0.3" footer="0.3"/>
  <drawing r:id="rId1"/>
</worksheet>
</file>

<file path=docMetadata/LabelInfo.xml><?xml version="1.0" encoding="utf-8"?>
<clbl:labelList xmlns:clbl="http://schemas.microsoft.com/office/2020/mipLabelMetadata">
  <clbl:label id="{9cb3ec79-f361-4fce-9968-760546e8777f}" enabled="0" method="" siteId="{9cb3ec79-f361-4fce-9968-760546e877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Figure 1</vt:lpstr>
      <vt:lpstr>Figure 2a</vt:lpstr>
      <vt:lpstr>Figure 2b</vt:lpstr>
      <vt:lpstr>Figure 3</vt:lpstr>
      <vt:lpstr>Figure_main_page</vt:lpstr>
      <vt:lpstr>'Figure 1'!Print_Area</vt:lpstr>
      <vt:lpstr>'Figure 2a'!Print_Area</vt:lpstr>
      <vt:lpstr>'Figure 2b'!Print_Area</vt:lpstr>
      <vt:lpstr>'Figure 3'!Print_Area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Kloek, Wim</dc:creator>
  <cp:keywords/>
  <dc:description/>
  <cp:lastModifiedBy>James Brooke</cp:lastModifiedBy>
  <cp:revision/>
  <dcterms:created xsi:type="dcterms:W3CDTF">2006-12-18T09:41:23Z</dcterms:created>
  <dcterms:modified xsi:type="dcterms:W3CDTF">2025-10-30T07:24:06Z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2023-10-10T11:08:41Z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be28754a-261a-4b9f-b663-ef06022af5ce</vt:lpwstr>
  </property>
  <property fmtid="{D5CDD505-2E9C-101B-9397-08002B2CF9AE}" pid="8" name="MSIP_Label_6bd9ddd1-4d20-43f6-abfa-fc3c07406f94_ContentBits">
    <vt:lpwstr>0</vt:lpwstr>
  </property>
</Properties>
</file>